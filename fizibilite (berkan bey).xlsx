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azlık" sheetId="1" r:id="rId1"/>
    <sheet name="ara dikim" sheetId="3" r:id="rId2"/>
    <sheet name="yat.geri dönüş" sheetId="2" r:id="rId3"/>
  </sheets>
  <externalReferences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1" i="3" l="1"/>
  <c r="G90" i="3"/>
  <c r="C31" i="3"/>
  <c r="G97" i="1" l="1"/>
  <c r="G92" i="1"/>
  <c r="G91" i="1"/>
  <c r="I28" i="1"/>
  <c r="I26" i="1"/>
  <c r="I25" i="1"/>
  <c r="I24" i="1"/>
  <c r="I23" i="1"/>
  <c r="I22" i="1"/>
  <c r="I21" i="1"/>
  <c r="C32" i="1"/>
  <c r="C31" i="1"/>
  <c r="K18" i="2" l="1"/>
  <c r="J18" i="2"/>
  <c r="G88" i="3"/>
  <c r="G89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H175" i="3" s="1"/>
  <c r="G163" i="3"/>
  <c r="G175" i="3" s="1"/>
  <c r="E156" i="3"/>
  <c r="D156" i="3"/>
  <c r="E155" i="3"/>
  <c r="E154" i="3"/>
  <c r="D154" i="3"/>
  <c r="C154" i="3"/>
  <c r="D153" i="3"/>
  <c r="C153" i="3"/>
  <c r="E152" i="3"/>
  <c r="D152" i="3"/>
  <c r="C152" i="3"/>
  <c r="D151" i="3"/>
  <c r="C151" i="3"/>
  <c r="E150" i="3"/>
  <c r="D150" i="3"/>
  <c r="C150" i="3"/>
  <c r="D149" i="3"/>
  <c r="C149" i="3"/>
  <c r="D148" i="3"/>
  <c r="C148" i="3"/>
  <c r="D147" i="3"/>
  <c r="C147" i="3"/>
  <c r="E146" i="3"/>
  <c r="D146" i="3"/>
  <c r="C146" i="3"/>
  <c r="I145" i="3"/>
  <c r="D145" i="3"/>
  <c r="C145" i="3"/>
  <c r="K137" i="3"/>
  <c r="K138" i="3" s="1"/>
  <c r="J137" i="3"/>
  <c r="J138" i="3" s="1"/>
  <c r="I137" i="3"/>
  <c r="I138" i="3" s="1"/>
  <c r="H137" i="3"/>
  <c r="H138" i="3" s="1"/>
  <c r="G137" i="3"/>
  <c r="G138" i="3" s="1"/>
  <c r="F137" i="3"/>
  <c r="F138" i="3" s="1"/>
  <c r="E137" i="3"/>
  <c r="E138" i="3" s="1"/>
  <c r="D137" i="3"/>
  <c r="D138" i="3" s="1"/>
  <c r="C137" i="3"/>
  <c r="C138" i="3" s="1"/>
  <c r="B137" i="3"/>
  <c r="B138" i="3" s="1"/>
  <c r="B116" i="3"/>
  <c r="C108" i="3" s="1"/>
  <c r="I99" i="3"/>
  <c r="G99" i="3"/>
  <c r="I98" i="3"/>
  <c r="G98" i="3"/>
  <c r="I97" i="3"/>
  <c r="G97" i="3"/>
  <c r="I96" i="3"/>
  <c r="G96" i="3"/>
  <c r="D96" i="3"/>
  <c r="I95" i="3"/>
  <c r="G95" i="3"/>
  <c r="D95" i="3"/>
  <c r="I94" i="3"/>
  <c r="G94" i="3"/>
  <c r="D94" i="3"/>
  <c r="I93" i="3"/>
  <c r="G93" i="3"/>
  <c r="D93" i="3"/>
  <c r="I92" i="3"/>
  <c r="G92" i="3"/>
  <c r="D92" i="3"/>
  <c r="I91" i="3"/>
  <c r="D91" i="3"/>
  <c r="I90" i="3"/>
  <c r="D90" i="3"/>
  <c r="I89" i="3"/>
  <c r="I88" i="3"/>
  <c r="G83" i="3"/>
  <c r="G84" i="3" s="1"/>
  <c r="B83" i="3"/>
  <c r="B84" i="3" s="1"/>
  <c r="G82" i="3"/>
  <c r="B82" i="3"/>
  <c r="G77" i="3"/>
  <c r="G78" i="3" s="1"/>
  <c r="F77" i="3"/>
  <c r="F78" i="3" s="1"/>
  <c r="B13" i="3"/>
  <c r="B73" i="3"/>
  <c r="C73" i="3" s="1"/>
  <c r="H32" i="3" s="1"/>
  <c r="H156" i="3" s="1"/>
  <c r="B71" i="3"/>
  <c r="C71" i="3" s="1"/>
  <c r="H30" i="3" s="1"/>
  <c r="H154" i="3" s="1"/>
  <c r="B70" i="3"/>
  <c r="C70" i="3" s="1"/>
  <c r="H29" i="3" s="1"/>
  <c r="H153" i="3" s="1"/>
  <c r="B69" i="3"/>
  <c r="C69" i="3" s="1"/>
  <c r="H28" i="3" s="1"/>
  <c r="H152" i="3" s="1"/>
  <c r="B65" i="3"/>
  <c r="C65" i="3" s="1"/>
  <c r="H24" i="3" s="1"/>
  <c r="H148" i="3" s="1"/>
  <c r="B68" i="3"/>
  <c r="C68" i="3" s="1"/>
  <c r="H27" i="3" s="1"/>
  <c r="H151" i="3" s="1"/>
  <c r="B67" i="3"/>
  <c r="C67" i="3" s="1"/>
  <c r="H26" i="3" s="1"/>
  <c r="H150" i="3" s="1"/>
  <c r="H66" i="3"/>
  <c r="B63" i="3" s="1"/>
  <c r="C63" i="3" s="1"/>
  <c r="H22" i="3" s="1"/>
  <c r="H146" i="3" s="1"/>
  <c r="B66" i="3"/>
  <c r="C66" i="3" s="1"/>
  <c r="H25" i="3" s="1"/>
  <c r="H149" i="3" s="1"/>
  <c r="H65" i="3"/>
  <c r="B62" i="3" s="1"/>
  <c r="C62" i="3" s="1"/>
  <c r="B64" i="3"/>
  <c r="C64" i="3" s="1"/>
  <c r="H23" i="3" s="1"/>
  <c r="H147" i="3" s="1"/>
  <c r="J59" i="3"/>
  <c r="I59" i="3"/>
  <c r="H59" i="3"/>
  <c r="G59" i="3"/>
  <c r="F59" i="3"/>
  <c r="C59" i="3"/>
  <c r="D58" i="3"/>
  <c r="B58" i="3"/>
  <c r="D57" i="3"/>
  <c r="B57" i="3"/>
  <c r="D56" i="3"/>
  <c r="B56" i="3"/>
  <c r="D55" i="3"/>
  <c r="B55" i="3"/>
  <c r="F29" i="3" s="1"/>
  <c r="F153" i="3" s="1"/>
  <c r="D54" i="3"/>
  <c r="B54" i="3"/>
  <c r="D53" i="3"/>
  <c r="B53" i="3"/>
  <c r="D52" i="3"/>
  <c r="F26" i="3" s="1"/>
  <c r="F150" i="3" s="1"/>
  <c r="B52" i="3"/>
  <c r="D51" i="3"/>
  <c r="B51" i="3"/>
  <c r="F25" i="3" s="1"/>
  <c r="F149" i="3" s="1"/>
  <c r="D50" i="3"/>
  <c r="B50" i="3"/>
  <c r="D49" i="3"/>
  <c r="B49" i="3"/>
  <c r="D48" i="3"/>
  <c r="F22" i="3" s="1"/>
  <c r="F146" i="3" s="1"/>
  <c r="B48" i="3"/>
  <c r="D47" i="3"/>
  <c r="B47" i="3"/>
  <c r="F21" i="3" s="1"/>
  <c r="B43" i="3"/>
  <c r="B42" i="3"/>
  <c r="G41" i="3"/>
  <c r="G38" i="3"/>
  <c r="I32" i="3"/>
  <c r="I156" i="3" s="1"/>
  <c r="C32" i="3"/>
  <c r="C156" i="3" s="1"/>
  <c r="I31" i="3"/>
  <c r="I155" i="3" s="1"/>
  <c r="F31" i="3"/>
  <c r="F155" i="3" s="1"/>
  <c r="D31" i="3"/>
  <c r="D155" i="3" s="1"/>
  <c r="C33" i="3"/>
  <c r="I30" i="3"/>
  <c r="I154" i="3" s="1"/>
  <c r="F30" i="3"/>
  <c r="F154" i="3" s="1"/>
  <c r="I29" i="3"/>
  <c r="I153" i="3" s="1"/>
  <c r="I28" i="3"/>
  <c r="I152" i="3" s="1"/>
  <c r="I27" i="3"/>
  <c r="I151" i="3" s="1"/>
  <c r="F27" i="3"/>
  <c r="F151" i="3" s="1"/>
  <c r="I26" i="3"/>
  <c r="I150" i="3" s="1"/>
  <c r="I25" i="3"/>
  <c r="I149" i="3" s="1"/>
  <c r="E25" i="3"/>
  <c r="E149" i="3" s="1"/>
  <c r="I24" i="3"/>
  <c r="I148" i="3" s="1"/>
  <c r="I23" i="3"/>
  <c r="I147" i="3" s="1"/>
  <c r="E23" i="3"/>
  <c r="E147" i="3" s="1"/>
  <c r="I146" i="3"/>
  <c r="E145" i="3"/>
  <c r="F14" i="3"/>
  <c r="G14" i="3" s="1"/>
  <c r="B14" i="3"/>
  <c r="F13" i="3"/>
  <c r="G13" i="3" s="1"/>
  <c r="F12" i="3"/>
  <c r="G12" i="3" s="1"/>
  <c r="B12" i="3"/>
  <c r="F11" i="3"/>
  <c r="G11" i="3" s="1"/>
  <c r="B11" i="3"/>
  <c r="F10" i="3"/>
  <c r="G10" i="3" s="1"/>
  <c r="B10" i="3"/>
  <c r="G9" i="3"/>
  <c r="B9" i="3"/>
  <c r="D9" i="3" s="1"/>
  <c r="G8" i="3"/>
  <c r="B8" i="3"/>
  <c r="D8" i="3" s="1"/>
  <c r="F7" i="3"/>
  <c r="G7" i="3" s="1"/>
  <c r="B7" i="3"/>
  <c r="F6" i="3"/>
  <c r="G6" i="3" s="1"/>
  <c r="F5" i="3"/>
  <c r="G5" i="3" s="1"/>
  <c r="B5" i="3"/>
  <c r="F4" i="3"/>
  <c r="G4" i="3" s="1"/>
  <c r="G3" i="3"/>
  <c r="F28" i="3" l="1"/>
  <c r="F152" i="3" s="1"/>
  <c r="F24" i="3"/>
  <c r="F148" i="3" s="1"/>
  <c r="F23" i="3"/>
  <c r="F147" i="3" s="1"/>
  <c r="F32" i="3"/>
  <c r="F156" i="3" s="1"/>
  <c r="B3" i="3"/>
  <c r="D3" i="3" s="1"/>
  <c r="H3" i="3" s="1"/>
  <c r="B4" i="3"/>
  <c r="D4" i="3" s="1"/>
  <c r="I100" i="3"/>
  <c r="D7" i="3"/>
  <c r="H7" i="3" s="1"/>
  <c r="D11" i="3"/>
  <c r="H77" i="3"/>
  <c r="D5" i="3"/>
  <c r="H5" i="3" s="1"/>
  <c r="D13" i="3"/>
  <c r="H13" i="3" s="1"/>
  <c r="D10" i="3"/>
  <c r="H10" i="3" s="1"/>
  <c r="D14" i="3"/>
  <c r="H14" i="3" s="1"/>
  <c r="D12" i="3"/>
  <c r="H12" i="3" s="1"/>
  <c r="D59" i="3"/>
  <c r="D33" i="3"/>
  <c r="D117" i="3" s="1"/>
  <c r="D118" i="3" s="1"/>
  <c r="I33" i="3"/>
  <c r="I34" i="3" s="1"/>
  <c r="H9" i="3"/>
  <c r="H94" i="3"/>
  <c r="G27" i="3" s="1"/>
  <c r="G151" i="3" s="1"/>
  <c r="J85" i="3"/>
  <c r="H99" i="3"/>
  <c r="G32" i="3" s="1"/>
  <c r="G156" i="3" s="1"/>
  <c r="H95" i="3"/>
  <c r="G28" i="3" s="1"/>
  <c r="G152" i="3" s="1"/>
  <c r="H96" i="3"/>
  <c r="G29" i="3" s="1"/>
  <c r="G153" i="3" s="1"/>
  <c r="H97" i="3"/>
  <c r="G30" i="3" s="1"/>
  <c r="G154" i="3" s="1"/>
  <c r="H98" i="3"/>
  <c r="G31" i="3" s="1"/>
  <c r="G155" i="3" s="1"/>
  <c r="F145" i="3"/>
  <c r="F33" i="3"/>
  <c r="L138" i="3"/>
  <c r="I157" i="3"/>
  <c r="H4" i="3"/>
  <c r="C34" i="3"/>
  <c r="C117" i="3"/>
  <c r="C118" i="3" s="1"/>
  <c r="H11" i="3"/>
  <c r="H8" i="3"/>
  <c r="H21" i="3"/>
  <c r="H88" i="3"/>
  <c r="F85" i="3"/>
  <c r="H93" i="3"/>
  <c r="G26" i="3" s="1"/>
  <c r="G150" i="3" s="1"/>
  <c r="H91" i="3"/>
  <c r="G24" i="3" s="1"/>
  <c r="G148" i="3" s="1"/>
  <c r="H89" i="3"/>
  <c r="G22" i="3" s="1"/>
  <c r="G146" i="3" s="1"/>
  <c r="E85" i="3"/>
  <c r="H92" i="3"/>
  <c r="G25" i="3" s="1"/>
  <c r="G149" i="3" s="1"/>
  <c r="H90" i="3"/>
  <c r="G23" i="3" s="1"/>
  <c r="G147" i="3" s="1"/>
  <c r="D157" i="3"/>
  <c r="B59" i="3"/>
  <c r="B6" i="3"/>
  <c r="D6" i="3" s="1"/>
  <c r="E24" i="3"/>
  <c r="B99" i="3"/>
  <c r="E29" i="3"/>
  <c r="E153" i="3" s="1"/>
  <c r="C106" i="3"/>
  <c r="C155" i="3"/>
  <c r="C157" i="3" s="1"/>
  <c r="B98" i="3"/>
  <c r="E27" i="3"/>
  <c r="E151" i="3" s="1"/>
  <c r="B100" i="3"/>
  <c r="B72" i="3"/>
  <c r="C72" i="3" s="1"/>
  <c r="H31" i="3" s="1"/>
  <c r="H155" i="3" s="1"/>
  <c r="C104" i="3"/>
  <c r="F157" i="3" l="1"/>
  <c r="D34" i="3"/>
  <c r="J86" i="3"/>
  <c r="B41" i="3" s="1"/>
  <c r="I117" i="3"/>
  <c r="I118" i="3" s="1"/>
  <c r="B44" i="3"/>
  <c r="B74" i="3"/>
  <c r="H6" i="3"/>
  <c r="F117" i="3"/>
  <c r="F118" i="3" s="1"/>
  <c r="F34" i="3"/>
  <c r="E148" i="3"/>
  <c r="E157" i="3" s="1"/>
  <c r="E33" i="3"/>
  <c r="B15" i="3"/>
  <c r="H100" i="3"/>
  <c r="G21" i="3"/>
  <c r="D15" i="3"/>
  <c r="D115" i="3"/>
  <c r="B32" i="3" s="1"/>
  <c r="D108" i="3"/>
  <c r="B25" i="3" s="1"/>
  <c r="D114" i="3"/>
  <c r="B31" i="3" s="1"/>
  <c r="D107" i="3"/>
  <c r="B24" i="3" s="1"/>
  <c r="D98" i="3"/>
  <c r="D113" i="3"/>
  <c r="B30" i="3" s="1"/>
  <c r="D106" i="3"/>
  <c r="B23" i="3" s="1"/>
  <c r="D112" i="3"/>
  <c r="B29" i="3" s="1"/>
  <c r="D109" i="3"/>
  <c r="B26" i="3" s="1"/>
  <c r="D111" i="3"/>
  <c r="B28" i="3" s="1"/>
  <c r="D105" i="3"/>
  <c r="B22" i="3" s="1"/>
  <c r="D116" i="3"/>
  <c r="D110" i="3"/>
  <c r="B27" i="3" s="1"/>
  <c r="D104" i="3"/>
  <c r="B21" i="3" s="1"/>
  <c r="H145" i="3"/>
  <c r="H157" i="3" s="1"/>
  <c r="H33" i="3"/>
  <c r="C74" i="3"/>
  <c r="D55" i="1"/>
  <c r="D54" i="1"/>
  <c r="D53" i="1"/>
  <c r="D52" i="1"/>
  <c r="D51" i="1"/>
  <c r="B145" i="3" l="1"/>
  <c r="B33" i="3"/>
  <c r="J21" i="3"/>
  <c r="C3" i="3" s="1"/>
  <c r="G145" i="3"/>
  <c r="G157" i="3" s="1"/>
  <c r="G33" i="3"/>
  <c r="J24" i="3"/>
  <c r="C6" i="3" s="1"/>
  <c r="B148" i="3"/>
  <c r="J148" i="3" s="1"/>
  <c r="J30" i="3"/>
  <c r="C12" i="3" s="1"/>
  <c r="B154" i="3"/>
  <c r="J154" i="3" s="1"/>
  <c r="B151" i="3"/>
  <c r="J151" i="3" s="1"/>
  <c r="J27" i="3"/>
  <c r="C9" i="3" s="1"/>
  <c r="H34" i="3"/>
  <c r="H117" i="3"/>
  <c r="H118" i="3" s="1"/>
  <c r="J22" i="3"/>
  <c r="C4" i="3" s="1"/>
  <c r="B146" i="3"/>
  <c r="J146" i="3" s="1"/>
  <c r="J31" i="3"/>
  <c r="C13" i="3" s="1"/>
  <c r="B155" i="3"/>
  <c r="J155" i="3" s="1"/>
  <c r="J28" i="3"/>
  <c r="C10" i="3" s="1"/>
  <c r="B152" i="3"/>
  <c r="J152" i="3" s="1"/>
  <c r="B150" i="3"/>
  <c r="J150" i="3" s="1"/>
  <c r="J26" i="3"/>
  <c r="C8" i="3" s="1"/>
  <c r="E117" i="3"/>
  <c r="E118" i="3" s="1"/>
  <c r="E34" i="3"/>
  <c r="J29" i="3"/>
  <c r="C11" i="3" s="1"/>
  <c r="B153" i="3"/>
  <c r="J153" i="3" s="1"/>
  <c r="J25" i="3"/>
  <c r="C7" i="3" s="1"/>
  <c r="B149" i="3"/>
  <c r="J149" i="3" s="1"/>
  <c r="J32" i="3"/>
  <c r="C14" i="3" s="1"/>
  <c r="B156" i="3"/>
  <c r="J156" i="3" s="1"/>
  <c r="H15" i="3"/>
  <c r="F15" i="3"/>
  <c r="G15" i="3" s="1"/>
  <c r="D16" i="3"/>
  <c r="H16" i="3" s="1"/>
  <c r="J23" i="3"/>
  <c r="C5" i="3" s="1"/>
  <c r="B147" i="3"/>
  <c r="J147" i="3" s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E156" i="1"/>
  <c r="D156" i="1"/>
  <c r="E155" i="1"/>
  <c r="E154" i="1"/>
  <c r="D154" i="1"/>
  <c r="C154" i="1"/>
  <c r="D153" i="1"/>
  <c r="C153" i="1"/>
  <c r="E152" i="1"/>
  <c r="D152" i="1"/>
  <c r="C152" i="1"/>
  <c r="D151" i="1"/>
  <c r="C151" i="1"/>
  <c r="E150" i="1"/>
  <c r="D150" i="1"/>
  <c r="C150" i="1"/>
  <c r="D149" i="1"/>
  <c r="C149" i="1"/>
  <c r="D148" i="1"/>
  <c r="C148" i="1"/>
  <c r="D147" i="1"/>
  <c r="C147" i="1"/>
  <c r="E146" i="1"/>
  <c r="D146" i="1"/>
  <c r="C146" i="1"/>
  <c r="D145" i="1"/>
  <c r="C145" i="1"/>
  <c r="K137" i="1"/>
  <c r="K138" i="1" s="1"/>
  <c r="J137" i="1"/>
  <c r="J138" i="1" s="1"/>
  <c r="I137" i="1"/>
  <c r="I138" i="1" s="1"/>
  <c r="H137" i="1"/>
  <c r="H138" i="1" s="1"/>
  <c r="G137" i="1"/>
  <c r="G138" i="1" s="1"/>
  <c r="F137" i="1"/>
  <c r="F138" i="1" s="1"/>
  <c r="E137" i="1"/>
  <c r="E138" i="1" s="1"/>
  <c r="D137" i="1"/>
  <c r="D138" i="1" s="1"/>
  <c r="C137" i="1"/>
  <c r="C138" i="1" s="1"/>
  <c r="B137" i="1"/>
  <c r="B138" i="1" s="1"/>
  <c r="B116" i="1"/>
  <c r="B99" i="1" s="1"/>
  <c r="I99" i="1"/>
  <c r="G99" i="1"/>
  <c r="I98" i="1"/>
  <c r="G98" i="1"/>
  <c r="I97" i="1"/>
  <c r="I96" i="1"/>
  <c r="G96" i="1"/>
  <c r="D96" i="1"/>
  <c r="I95" i="1"/>
  <c r="G95" i="1"/>
  <c r="D95" i="1"/>
  <c r="I94" i="1"/>
  <c r="G94" i="1"/>
  <c r="D94" i="1"/>
  <c r="I93" i="1"/>
  <c r="G93" i="1"/>
  <c r="D93" i="1"/>
  <c r="I92" i="1"/>
  <c r="D92" i="1"/>
  <c r="I91" i="1"/>
  <c r="D91" i="1"/>
  <c r="I90" i="1"/>
  <c r="G90" i="1"/>
  <c r="D90" i="1"/>
  <c r="I89" i="1"/>
  <c r="G89" i="1"/>
  <c r="I88" i="1"/>
  <c r="G88" i="1"/>
  <c r="G83" i="1"/>
  <c r="B83" i="1"/>
  <c r="G82" i="1"/>
  <c r="B82" i="1"/>
  <c r="G77" i="1"/>
  <c r="G78" i="1" s="1"/>
  <c r="F77" i="1"/>
  <c r="F78" i="1" s="1"/>
  <c r="B73" i="1"/>
  <c r="C73" i="1" s="1"/>
  <c r="H32" i="1" s="1"/>
  <c r="H156" i="1" s="1"/>
  <c r="B72" i="1"/>
  <c r="C72" i="1" s="1"/>
  <c r="H31" i="1" s="1"/>
  <c r="H155" i="1" s="1"/>
  <c r="B71" i="1"/>
  <c r="C71" i="1" s="1"/>
  <c r="H30" i="1" s="1"/>
  <c r="H154" i="1" s="1"/>
  <c r="B11" i="1"/>
  <c r="B68" i="1"/>
  <c r="C68" i="1" s="1"/>
  <c r="H27" i="1" s="1"/>
  <c r="H151" i="1" s="1"/>
  <c r="B67" i="1"/>
  <c r="C67" i="1" s="1"/>
  <c r="H26" i="1" s="1"/>
  <c r="H150" i="1" s="1"/>
  <c r="B66" i="1"/>
  <c r="C66" i="1" s="1"/>
  <c r="H25" i="1" s="1"/>
  <c r="H149" i="1" s="1"/>
  <c r="B69" i="1"/>
  <c r="C69" i="1" s="1"/>
  <c r="H28" i="1" s="1"/>
  <c r="H152" i="1" s="1"/>
  <c r="B6" i="1"/>
  <c r="B7" i="2" s="1"/>
  <c r="B64" i="1"/>
  <c r="H66" i="1"/>
  <c r="B4" i="1" s="1"/>
  <c r="B5" i="2" s="1"/>
  <c r="H65" i="1"/>
  <c r="B3" i="1" s="1"/>
  <c r="B4" i="2" s="1"/>
  <c r="J59" i="1"/>
  <c r="I59" i="1"/>
  <c r="H59" i="1"/>
  <c r="G59" i="1"/>
  <c r="F59" i="1"/>
  <c r="C59" i="1"/>
  <c r="D58" i="1"/>
  <c r="B58" i="1"/>
  <c r="D57" i="1"/>
  <c r="B57" i="1"/>
  <c r="F31" i="1" s="1"/>
  <c r="F155" i="1" s="1"/>
  <c r="D56" i="1"/>
  <c r="B56" i="1"/>
  <c r="B55" i="1"/>
  <c r="F29" i="1" s="1"/>
  <c r="F153" i="1" s="1"/>
  <c r="B54" i="1"/>
  <c r="F28" i="1" s="1"/>
  <c r="F152" i="1" s="1"/>
  <c r="B53" i="1"/>
  <c r="F27" i="1" s="1"/>
  <c r="F151" i="1" s="1"/>
  <c r="B52" i="1"/>
  <c r="F26" i="1" s="1"/>
  <c r="F150" i="1" s="1"/>
  <c r="B51" i="1"/>
  <c r="F25" i="1" s="1"/>
  <c r="F149" i="1" s="1"/>
  <c r="D50" i="1"/>
  <c r="B50" i="1"/>
  <c r="D49" i="1"/>
  <c r="B49" i="1"/>
  <c r="F23" i="1" s="1"/>
  <c r="F147" i="1" s="1"/>
  <c r="D48" i="1"/>
  <c r="B48" i="1"/>
  <c r="D47" i="1"/>
  <c r="B47" i="1"/>
  <c r="B43" i="1"/>
  <c r="B42" i="1"/>
  <c r="G41" i="1"/>
  <c r="G38" i="1"/>
  <c r="I32" i="1"/>
  <c r="I156" i="1" s="1"/>
  <c r="C156" i="1"/>
  <c r="I31" i="1"/>
  <c r="I155" i="1" s="1"/>
  <c r="D31" i="1"/>
  <c r="D155" i="1" s="1"/>
  <c r="I30" i="1"/>
  <c r="I154" i="1" s="1"/>
  <c r="I29" i="1"/>
  <c r="I153" i="1" s="1"/>
  <c r="I152" i="1"/>
  <c r="I27" i="1"/>
  <c r="I151" i="1" s="1"/>
  <c r="I150" i="1"/>
  <c r="I149" i="1"/>
  <c r="I148" i="1"/>
  <c r="I147" i="1"/>
  <c r="E23" i="1"/>
  <c r="E147" i="1" s="1"/>
  <c r="I146" i="1"/>
  <c r="E21" i="1"/>
  <c r="E145" i="1" s="1"/>
  <c r="F14" i="1"/>
  <c r="G14" i="1" s="1"/>
  <c r="C15" i="2" s="1"/>
  <c r="B14" i="1"/>
  <c r="B15" i="2" s="1"/>
  <c r="G13" i="1"/>
  <c r="C14" i="2" s="1"/>
  <c r="B13" i="1"/>
  <c r="B14" i="2" s="1"/>
  <c r="G12" i="1"/>
  <c r="C13" i="2" s="1"/>
  <c r="G11" i="1"/>
  <c r="C12" i="2" s="1"/>
  <c r="G10" i="1"/>
  <c r="C11" i="2" s="1"/>
  <c r="B10" i="1"/>
  <c r="B11" i="2" s="1"/>
  <c r="G9" i="1"/>
  <c r="C10" i="2" s="1"/>
  <c r="B9" i="1"/>
  <c r="B10" i="2" s="1"/>
  <c r="G8" i="1"/>
  <c r="C9" i="2" s="1"/>
  <c r="B8" i="1"/>
  <c r="G7" i="1"/>
  <c r="C8" i="2" s="1"/>
  <c r="G6" i="1"/>
  <c r="C7" i="2" s="1"/>
  <c r="G5" i="1"/>
  <c r="C6" i="2" s="1"/>
  <c r="G3" i="1"/>
  <c r="C4" i="2" s="1"/>
  <c r="C64" i="1" l="1"/>
  <c r="H23" i="1" s="1"/>
  <c r="H147" i="1" s="1"/>
  <c r="F30" i="1"/>
  <c r="F154" i="1" s="1"/>
  <c r="B100" i="1"/>
  <c r="G175" i="1"/>
  <c r="F21" i="1"/>
  <c r="F145" i="1" s="1"/>
  <c r="C104" i="1"/>
  <c r="H175" i="1"/>
  <c r="I13" i="3"/>
  <c r="J13" i="3" s="1"/>
  <c r="E13" i="3"/>
  <c r="I8" i="3"/>
  <c r="J8" i="3" s="1"/>
  <c r="E8" i="3"/>
  <c r="I4" i="3"/>
  <c r="J4" i="3" s="1"/>
  <c r="E4" i="3"/>
  <c r="I6" i="3"/>
  <c r="J6" i="3" s="1"/>
  <c r="E6" i="3"/>
  <c r="I12" i="3"/>
  <c r="J12" i="3" s="1"/>
  <c r="E12" i="3"/>
  <c r="I14" i="3"/>
  <c r="J14" i="3" s="1"/>
  <c r="E14" i="3"/>
  <c r="G117" i="3"/>
  <c r="G118" i="3" s="1"/>
  <c r="G34" i="3"/>
  <c r="I10" i="3"/>
  <c r="J10" i="3" s="1"/>
  <c r="E10" i="3"/>
  <c r="I9" i="3"/>
  <c r="J9" i="3" s="1"/>
  <c r="E9" i="3"/>
  <c r="I5" i="3"/>
  <c r="J5" i="3" s="1"/>
  <c r="E5" i="3"/>
  <c r="B34" i="3"/>
  <c r="J33" i="3"/>
  <c r="B117" i="3"/>
  <c r="B118" i="3" s="1"/>
  <c r="B37" i="3"/>
  <c r="I7" i="3"/>
  <c r="J7" i="3" s="1"/>
  <c r="E7" i="3"/>
  <c r="I3" i="3"/>
  <c r="J3" i="3" s="1"/>
  <c r="C15" i="3"/>
  <c r="E3" i="3"/>
  <c r="I11" i="3"/>
  <c r="J11" i="3" s="1"/>
  <c r="E11" i="3"/>
  <c r="B157" i="3"/>
  <c r="J145" i="3"/>
  <c r="J157" i="3" s="1"/>
  <c r="B84" i="1"/>
  <c r="H89" i="1" s="1"/>
  <c r="G22" i="1" s="1"/>
  <c r="G146" i="1" s="1"/>
  <c r="F22" i="1"/>
  <c r="F146" i="1" s="1"/>
  <c r="F32" i="1"/>
  <c r="F156" i="1" s="1"/>
  <c r="D8" i="1"/>
  <c r="B9" i="2"/>
  <c r="C33" i="1"/>
  <c r="C117" i="1" s="1"/>
  <c r="C118" i="1" s="1"/>
  <c r="H10" i="2"/>
  <c r="G10" i="2"/>
  <c r="D10" i="2"/>
  <c r="F10" i="2"/>
  <c r="E10" i="2"/>
  <c r="B7" i="1"/>
  <c r="B8" i="2" s="1"/>
  <c r="H7" i="2"/>
  <c r="G7" i="2"/>
  <c r="F7" i="2"/>
  <c r="D7" i="2"/>
  <c r="E7" i="2"/>
  <c r="H15" i="2"/>
  <c r="G15" i="2"/>
  <c r="F15" i="2"/>
  <c r="D15" i="2"/>
  <c r="E15" i="2"/>
  <c r="H11" i="2"/>
  <c r="E11" i="2"/>
  <c r="G11" i="2"/>
  <c r="F11" i="2"/>
  <c r="D11" i="2"/>
  <c r="H14" i="2"/>
  <c r="G14" i="2"/>
  <c r="D14" i="2"/>
  <c r="F14" i="2"/>
  <c r="E14" i="2"/>
  <c r="H4" i="2"/>
  <c r="D4" i="2"/>
  <c r="E4" i="2"/>
  <c r="F4" i="2"/>
  <c r="G4" i="2"/>
  <c r="D11" i="1"/>
  <c r="H11" i="1" s="1"/>
  <c r="B12" i="2"/>
  <c r="D6" i="1"/>
  <c r="H6" i="1" s="1"/>
  <c r="B5" i="1"/>
  <c r="B6" i="2" s="1"/>
  <c r="D14" i="1"/>
  <c r="H14" i="1" s="1"/>
  <c r="I100" i="1"/>
  <c r="B12" i="1"/>
  <c r="F24" i="1"/>
  <c r="F148" i="1" s="1"/>
  <c r="G84" i="1"/>
  <c r="J85" i="1" s="1"/>
  <c r="B98" i="1"/>
  <c r="C106" i="1"/>
  <c r="C108" i="1"/>
  <c r="E25" i="1"/>
  <c r="E149" i="1" s="1"/>
  <c r="D59" i="1"/>
  <c r="B63" i="1"/>
  <c r="C63" i="1" s="1"/>
  <c r="H22" i="1" s="1"/>
  <c r="H146" i="1" s="1"/>
  <c r="D4" i="1"/>
  <c r="H4" i="1" s="1"/>
  <c r="G4" i="1"/>
  <c r="C5" i="2" s="1"/>
  <c r="H5" i="2" s="1"/>
  <c r="B65" i="1"/>
  <c r="C65" i="1" s="1"/>
  <c r="D9" i="1"/>
  <c r="H9" i="1" s="1"/>
  <c r="D10" i="1"/>
  <c r="H10" i="1" s="1"/>
  <c r="I33" i="1"/>
  <c r="I34" i="1" s="1"/>
  <c r="D157" i="1"/>
  <c r="L138" i="1"/>
  <c r="H8" i="1"/>
  <c r="D3" i="1"/>
  <c r="D33" i="1"/>
  <c r="B70" i="1"/>
  <c r="C70" i="1" s="1"/>
  <c r="H29" i="1" s="1"/>
  <c r="H153" i="1" s="1"/>
  <c r="I145" i="1"/>
  <c r="I157" i="1" s="1"/>
  <c r="B59" i="1"/>
  <c r="D13" i="1"/>
  <c r="E24" i="1"/>
  <c r="E148" i="1" s="1"/>
  <c r="C155" i="1"/>
  <c r="C157" i="1" s="1"/>
  <c r="E29" i="1"/>
  <c r="E153" i="1" s="1"/>
  <c r="B62" i="1"/>
  <c r="H77" i="1"/>
  <c r="E27" i="1"/>
  <c r="E151" i="1" s="1"/>
  <c r="E85" i="1" l="1"/>
  <c r="H92" i="1"/>
  <c r="G25" i="1" s="1"/>
  <c r="G149" i="1" s="1"/>
  <c r="D98" i="1"/>
  <c r="F157" i="1"/>
  <c r="H24" i="1"/>
  <c r="H148" i="1" s="1"/>
  <c r="C34" i="1"/>
  <c r="H90" i="1"/>
  <c r="G23" i="1" s="1"/>
  <c r="G147" i="1" s="1"/>
  <c r="H93" i="1"/>
  <c r="G26" i="1" s="1"/>
  <c r="G150" i="1" s="1"/>
  <c r="H91" i="1"/>
  <c r="G24" i="1" s="1"/>
  <c r="G148" i="1" s="1"/>
  <c r="H88" i="1"/>
  <c r="G21" i="1" s="1"/>
  <c r="G145" i="1" s="1"/>
  <c r="J34" i="3"/>
  <c r="J117" i="3"/>
  <c r="J118" i="3" s="1"/>
  <c r="E15" i="3"/>
  <c r="E16" i="3" s="1"/>
  <c r="G43" i="3"/>
  <c r="I15" i="3"/>
  <c r="J15" i="3" s="1"/>
  <c r="C16" i="3"/>
  <c r="I16" i="3" s="1"/>
  <c r="J16" i="3" s="1"/>
  <c r="D7" i="1"/>
  <c r="H7" i="1" s="1"/>
  <c r="H98" i="1"/>
  <c r="G31" i="1" s="1"/>
  <c r="G155" i="1" s="1"/>
  <c r="H96" i="1"/>
  <c r="G29" i="1" s="1"/>
  <c r="G153" i="1" s="1"/>
  <c r="H99" i="1"/>
  <c r="G32" i="1" s="1"/>
  <c r="G156" i="1" s="1"/>
  <c r="H95" i="1"/>
  <c r="G28" i="1" s="1"/>
  <c r="G152" i="1" s="1"/>
  <c r="H94" i="1"/>
  <c r="G27" i="1" s="1"/>
  <c r="G151" i="1" s="1"/>
  <c r="D108" i="1"/>
  <c r="B25" i="1" s="1"/>
  <c r="J25" i="1" s="1"/>
  <c r="C7" i="1" s="1"/>
  <c r="F85" i="1"/>
  <c r="H97" i="1"/>
  <c r="G30" i="1" s="1"/>
  <c r="G154" i="1" s="1"/>
  <c r="F33" i="1"/>
  <c r="F117" i="1" s="1"/>
  <c r="F118" i="1" s="1"/>
  <c r="J86" i="1"/>
  <c r="B41" i="1" s="1"/>
  <c r="I10" i="2"/>
  <c r="H9" i="2"/>
  <c r="D9" i="2"/>
  <c r="G9" i="2"/>
  <c r="E9" i="2"/>
  <c r="F9" i="2"/>
  <c r="D5" i="1"/>
  <c r="B15" i="1"/>
  <c r="F5" i="2"/>
  <c r="G5" i="2"/>
  <c r="I14" i="2"/>
  <c r="D12" i="1"/>
  <c r="H12" i="1" s="1"/>
  <c r="B13" i="2"/>
  <c r="B16" i="2" s="1"/>
  <c r="H6" i="2"/>
  <c r="G6" i="2"/>
  <c r="D6" i="2"/>
  <c r="E6" i="2"/>
  <c r="F6" i="2"/>
  <c r="I4" i="2"/>
  <c r="E5" i="2"/>
  <c r="I11" i="2"/>
  <c r="D5" i="2"/>
  <c r="I7" i="2"/>
  <c r="H12" i="2"/>
  <c r="D12" i="2"/>
  <c r="G12" i="2"/>
  <c r="E12" i="2"/>
  <c r="F12" i="2"/>
  <c r="H8" i="2"/>
  <c r="F8" i="2"/>
  <c r="G8" i="2"/>
  <c r="D8" i="2"/>
  <c r="E8" i="2"/>
  <c r="I15" i="2"/>
  <c r="B44" i="1"/>
  <c r="E157" i="1"/>
  <c r="D105" i="1"/>
  <c r="B22" i="1" s="1"/>
  <c r="D114" i="1"/>
  <c r="B31" i="1" s="1"/>
  <c r="B155" i="1" s="1"/>
  <c r="D116" i="1"/>
  <c r="D113" i="1"/>
  <c r="B30" i="1" s="1"/>
  <c r="D110" i="1"/>
  <c r="B27" i="1" s="1"/>
  <c r="D112" i="1"/>
  <c r="B29" i="1" s="1"/>
  <c r="B153" i="1" s="1"/>
  <c r="D106" i="1"/>
  <c r="B23" i="1" s="1"/>
  <c r="D111" i="1"/>
  <c r="B28" i="1" s="1"/>
  <c r="B152" i="1" s="1"/>
  <c r="D109" i="1"/>
  <c r="B26" i="1" s="1"/>
  <c r="B150" i="1" s="1"/>
  <c r="J150" i="1" s="1"/>
  <c r="D104" i="1"/>
  <c r="B21" i="1" s="1"/>
  <c r="B145" i="1" s="1"/>
  <c r="D107" i="1"/>
  <c r="B24" i="1" s="1"/>
  <c r="D115" i="1"/>
  <c r="B32" i="1" s="1"/>
  <c r="B156" i="1" s="1"/>
  <c r="I117" i="1"/>
  <c r="I118" i="1" s="1"/>
  <c r="D117" i="1"/>
  <c r="D118" i="1" s="1"/>
  <c r="D34" i="1"/>
  <c r="H3" i="1"/>
  <c r="B74" i="1"/>
  <c r="C62" i="1"/>
  <c r="H13" i="1"/>
  <c r="E33" i="1"/>
  <c r="J23" i="1" l="1"/>
  <c r="C5" i="1" s="1"/>
  <c r="I5" i="1" s="1"/>
  <c r="J153" i="1"/>
  <c r="F34" i="1"/>
  <c r="J24" i="1"/>
  <c r="C6" i="1" s="1"/>
  <c r="E6" i="1" s="1"/>
  <c r="J155" i="1"/>
  <c r="J27" i="1"/>
  <c r="C9" i="1" s="1"/>
  <c r="E9" i="1" s="1"/>
  <c r="B149" i="1"/>
  <c r="J149" i="1" s="1"/>
  <c r="G157" i="1"/>
  <c r="J152" i="1"/>
  <c r="J156" i="1"/>
  <c r="G33" i="1"/>
  <c r="G117" i="1" s="1"/>
  <c r="G118" i="1" s="1"/>
  <c r="J30" i="1"/>
  <c r="C12" i="1" s="1"/>
  <c r="I12" i="1" s="1"/>
  <c r="J12" i="1" s="1"/>
  <c r="D15" i="1"/>
  <c r="H15" i="1" s="1"/>
  <c r="H17" i="1" s="1"/>
  <c r="H100" i="1"/>
  <c r="I5" i="2"/>
  <c r="H5" i="1"/>
  <c r="J31" i="1"/>
  <c r="C13" i="1" s="1"/>
  <c r="I13" i="1" s="1"/>
  <c r="J13" i="1" s="1"/>
  <c r="I9" i="2"/>
  <c r="J26" i="1"/>
  <c r="C8" i="1" s="1"/>
  <c r="I8" i="1" s="1"/>
  <c r="J8" i="1" s="1"/>
  <c r="I6" i="2"/>
  <c r="I12" i="2"/>
  <c r="H13" i="2"/>
  <c r="H17" i="2" s="1"/>
  <c r="D13" i="2"/>
  <c r="E13" i="2"/>
  <c r="E17" i="2" s="1"/>
  <c r="G13" i="2"/>
  <c r="G17" i="2" s="1"/>
  <c r="F13" i="2"/>
  <c r="F17" i="2" s="1"/>
  <c r="I8" i="2"/>
  <c r="B154" i="1"/>
  <c r="J154" i="1" s="1"/>
  <c r="J32" i="1"/>
  <c r="C14" i="1" s="1"/>
  <c r="I14" i="1" s="1"/>
  <c r="J14" i="1" s="1"/>
  <c r="J29" i="1"/>
  <c r="C11" i="1" s="1"/>
  <c r="I11" i="1" s="1"/>
  <c r="J11" i="1" s="1"/>
  <c r="B151" i="1"/>
  <c r="J151" i="1" s="1"/>
  <c r="B148" i="1"/>
  <c r="J148" i="1" s="1"/>
  <c r="B33" i="1"/>
  <c r="B34" i="1" s="1"/>
  <c r="B147" i="1"/>
  <c r="J147" i="1" s="1"/>
  <c r="J28" i="1"/>
  <c r="C10" i="1" s="1"/>
  <c r="E10" i="1" s="1"/>
  <c r="J22" i="1"/>
  <c r="C4" i="1" s="1"/>
  <c r="B146" i="1"/>
  <c r="J146" i="1" s="1"/>
  <c r="E117" i="1"/>
  <c r="E118" i="1" s="1"/>
  <c r="E34" i="1"/>
  <c r="I7" i="1"/>
  <c r="J7" i="1" s="1"/>
  <c r="E7" i="1"/>
  <c r="C74" i="1"/>
  <c r="H21" i="1"/>
  <c r="I9" i="1" l="1"/>
  <c r="J9" i="1" s="1"/>
  <c r="J5" i="1"/>
  <c r="E5" i="1"/>
  <c r="I6" i="1"/>
  <c r="J6" i="1" s="1"/>
  <c r="G34" i="1"/>
  <c r="F15" i="1"/>
  <c r="G15" i="1" s="1"/>
  <c r="D16" i="1"/>
  <c r="E12" i="1"/>
  <c r="E13" i="1"/>
  <c r="E8" i="1"/>
  <c r="E14" i="1"/>
  <c r="I13" i="2"/>
  <c r="D17" i="2"/>
  <c r="E11" i="1"/>
  <c r="B37" i="1"/>
  <c r="B117" i="1"/>
  <c r="B118" i="1" s="1"/>
  <c r="I10" i="1"/>
  <c r="J10" i="1" s="1"/>
  <c r="I4" i="1"/>
  <c r="J4" i="1" s="1"/>
  <c r="E4" i="1"/>
  <c r="B157" i="1"/>
  <c r="H145" i="1"/>
  <c r="H33" i="1"/>
  <c r="J21" i="1"/>
  <c r="C3" i="1" s="1"/>
  <c r="I17" i="2" l="1"/>
  <c r="C16" i="2"/>
  <c r="I3" i="1"/>
  <c r="J3" i="1" s="1"/>
  <c r="C15" i="1"/>
  <c r="E3" i="1"/>
  <c r="E15" i="1" s="1"/>
  <c r="E16" i="1" s="1"/>
  <c r="H34" i="1"/>
  <c r="H117" i="1"/>
  <c r="H118" i="1" s="1"/>
  <c r="J33" i="1"/>
  <c r="H157" i="1"/>
  <c r="J145" i="1"/>
  <c r="J157" i="1" s="1"/>
  <c r="J34" i="1" l="1"/>
  <c r="D18" i="2" s="1"/>
  <c r="J117" i="1"/>
  <c r="J118" i="1" s="1"/>
  <c r="G43" i="1"/>
  <c r="C16" i="1"/>
  <c r="I15" i="1"/>
  <c r="I17" i="1" s="1"/>
  <c r="J15" i="1" l="1"/>
  <c r="J17" i="1" s="1"/>
  <c r="E18" i="2"/>
  <c r="E19" i="2" s="1"/>
  <c r="F18" i="2"/>
  <c r="F19" i="2" s="1"/>
  <c r="G18" i="2"/>
  <c r="H18" i="2"/>
  <c r="H19" i="2" s="1"/>
  <c r="D19" i="2"/>
  <c r="J19" i="2" l="1"/>
  <c r="K19" i="2"/>
  <c r="I18" i="2"/>
  <c r="G19" i="2"/>
  <c r="I19" i="2" s="1"/>
</calcChain>
</file>

<file path=xl/sharedStrings.xml><?xml version="1.0" encoding="utf-8"?>
<sst xmlns="http://schemas.openxmlformats.org/spreadsheetml/2006/main" count="637" uniqueCount="181">
  <si>
    <t>AYLAR</t>
  </si>
  <si>
    <t>REKOLTE (KG)</t>
  </si>
  <si>
    <t>MALİYET (TL)</t>
  </si>
  <si>
    <t>SATIŞ (TL)</t>
  </si>
  <si>
    <t>KAR/ZARAR (TL)</t>
  </si>
  <si>
    <t xml:space="preserve">DOMATES FİYAT  </t>
  </si>
  <si>
    <t>SERA ALANINA GÖRE (TL/m2)</t>
  </si>
  <si>
    <t xml:space="preserve"> TL/KG</t>
  </si>
  <si>
    <t xml:space="preserve"> USD/KG</t>
  </si>
  <si>
    <t>GELİR (TL/m2)</t>
  </si>
  <si>
    <t>GİDER(TL/m2)</t>
  </si>
  <si>
    <t>KAR/ZARAR(TL/m2)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</si>
  <si>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</si>
  <si>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</si>
  <si>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</si>
  <si>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</si>
  <si>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</si>
  <si>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</si>
  <si>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</si>
  <si>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</si>
  <si>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</si>
  <si>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</si>
  <si>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</si>
  <si>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</si>
  <si>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</si>
  <si>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usd/m2</t>
  </si>
  <si>
    <t>HAMMADDE GİDERLERİ (TL)</t>
  </si>
  <si>
    <t>ENERJİ GİDERLERİ (TL)</t>
  </si>
  <si>
    <t>PERSONEL GİDERLERİ (TL)</t>
  </si>
  <si>
    <t>AMBALAJ GİDERLERİ (TL)</t>
  </si>
  <si>
    <t>G.Ü.G (TL)</t>
  </si>
  <si>
    <t>TOPLAM GİDER (TL)</t>
  </si>
  <si>
    <t xml:space="preserve">GÜBRE </t>
  </si>
  <si>
    <t>TOHUM/FİDE</t>
  </si>
  <si>
    <t>ÜRETİM ORTAMI</t>
  </si>
  <si>
    <t>İLAÇ</t>
  </si>
  <si>
    <t>OCAK</t>
  </si>
  <si>
    <t xml:space="preserve">ŞUBAT </t>
  </si>
  <si>
    <t xml:space="preserve">MART 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</si>
  <si>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</si>
  <si>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</si>
  <si>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</si>
  <si>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</si>
  <si>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</si>
  <si>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</si>
  <si>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</si>
  <si>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</si>
  <si>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ARALIK*</t>
  </si>
  <si>
    <t>toplam usd/m2</t>
  </si>
  <si>
    <t>sera alanı m2</t>
  </si>
  <si>
    <t>usd/tl</t>
  </si>
  <si>
    <t>Gübre</t>
  </si>
  <si>
    <t>İlaç</t>
  </si>
  <si>
    <t>toplam ilaç</t>
  </si>
  <si>
    <t>stopmate usd/m2</t>
  </si>
  <si>
    <t>Üretim ort. Cocopeat</t>
  </si>
  <si>
    <t>usd/adet</t>
  </si>
  <si>
    <t>tohum/fide</t>
  </si>
  <si>
    <t>bitki/m2</t>
  </si>
  <si>
    <t>işçilik</t>
  </si>
  <si>
    <t>tl/m2</t>
  </si>
  <si>
    <t>elektrik/doğalgaz</t>
  </si>
  <si>
    <t>ambalaj</t>
  </si>
  <si>
    <t>domates maliyet tl/kg</t>
  </si>
  <si>
    <t>GÜG</t>
  </si>
  <si>
    <t>doğalgaz</t>
  </si>
  <si>
    <t>tl/kg</t>
  </si>
  <si>
    <t>elektrik tületimi</t>
  </si>
  <si>
    <t>kwh/m2</t>
  </si>
  <si>
    <t>doğalgaz  tüketimi tl/m2 (8250 kcall)</t>
  </si>
  <si>
    <t>haziran</t>
  </si>
  <si>
    <t>İŞÇİLİK GİDERLERİ</t>
  </si>
  <si>
    <t>SU</t>
  </si>
  <si>
    <t>DOĞALGAZ</t>
  </si>
  <si>
    <t>ELEKTRİK</t>
  </si>
  <si>
    <t>KİRALAR
(depo,araç)</t>
  </si>
  <si>
    <t>ocak</t>
  </si>
  <si>
    <t>temmuz</t>
  </si>
  <si>
    <t>şubat</t>
  </si>
  <si>
    <t>ağustos</t>
  </si>
  <si>
    <t>mart</t>
  </si>
  <si>
    <t>eylül</t>
  </si>
  <si>
    <t>nisan</t>
  </si>
  <si>
    <t>ekim</t>
  </si>
  <si>
    <t>mayıs</t>
  </si>
  <si>
    <t>kasım</t>
  </si>
  <si>
    <t>aralık</t>
  </si>
  <si>
    <t>toplam tüketim</t>
  </si>
  <si>
    <t>ambalaj sarf malzemesi</t>
  </si>
  <si>
    <t>rekolte kg/m2</t>
  </si>
  <si>
    <t>kutu maliyet tl/m2</t>
  </si>
  <si>
    <t>2 ha reel girdiler</t>
  </si>
  <si>
    <t>aylar</t>
  </si>
  <si>
    <t>masraf</t>
  </si>
  <si>
    <t>toplam</t>
  </si>
  <si>
    <t>işçilik giderleri/temmuz aralık</t>
  </si>
  <si>
    <t>işçilik giderleri/ocak haziran</t>
  </si>
  <si>
    <t xml:space="preserve">brüt </t>
  </si>
  <si>
    <t>ücretler tl</t>
  </si>
  <si>
    <t>ay</t>
  </si>
  <si>
    <t>yedirme</t>
  </si>
  <si>
    <t>gün</t>
  </si>
  <si>
    <t>servis</t>
  </si>
  <si>
    <t>sezon da işçilik gideri tl/m2</t>
  </si>
  <si>
    <t>toplam işçilik  tl/m2/yıl</t>
  </si>
  <si>
    <t>çalışan işçi ad.</t>
  </si>
  <si>
    <t>işveren mal.</t>
  </si>
  <si>
    <t>beyaz yaka</t>
  </si>
  <si>
    <t>Gübre tüketimi</t>
  </si>
  <si>
    <t>kg reçete</t>
  </si>
  <si>
    <t>yıldırım kimya</t>
  </si>
  <si>
    <t>1 kg katı calsiyum 1,6 kg sıvıya eşdeğerdir.</t>
  </si>
  <si>
    <t>CaNO3  sıvı /1,4</t>
  </si>
  <si>
    <t>Fe dtpa</t>
  </si>
  <si>
    <t>K2SO4</t>
  </si>
  <si>
    <t>K2NO3</t>
  </si>
  <si>
    <t>MgSO4</t>
  </si>
  <si>
    <t>MKP</t>
  </si>
  <si>
    <t>HNO3</t>
  </si>
  <si>
    <t>kg/m2/yıl</t>
  </si>
  <si>
    <t>tl/m2/yıl</t>
  </si>
  <si>
    <t>1 tonluk A+B (tl)</t>
  </si>
  <si>
    <t>Tank A maliyeti</t>
  </si>
  <si>
    <t>Tank B maliyeti</t>
  </si>
  <si>
    <t>GÜBRE A -B VE E TANK MALİYET 10 dekar</t>
  </si>
  <si>
    <t>TOPLAM A+B TANKI DEĞİŞİMİ</t>
  </si>
  <si>
    <t>TANK A tl/m2</t>
  </si>
  <si>
    <t>aylara göre gübre tüketimi tl/m2</t>
  </si>
  <si>
    <t>ŞUBAT</t>
  </si>
  <si>
    <t>TANK B tl/m2</t>
  </si>
  <si>
    <t>MART</t>
  </si>
  <si>
    <t>TANK E tl/m2</t>
  </si>
  <si>
    <t>ARALIK</t>
  </si>
  <si>
    <t>TOPLAM TANK DEĞİŞİMİ</t>
  </si>
  <si>
    <t>maliyet tl/m2</t>
  </si>
  <si>
    <t>maliyet usd/m2</t>
  </si>
  <si>
    <t>ısıtma termal bölge kömür hariç</t>
  </si>
  <si>
    <t>20000 m2 sera reel referans girdi/2023 yılı</t>
  </si>
  <si>
    <t>GÜBRE/İLAÇ</t>
  </si>
  <si>
    <t xml:space="preserve">ÜRÜN ANALİZİ </t>
  </si>
  <si>
    <t xml:space="preserve">MUHTELİF SARF MALZ. </t>
  </si>
  <si>
    <t>DEMİRBAŞ</t>
  </si>
  <si>
    <t>DEMİRBAŞ BAKIM ONARIM SARF MALZ.</t>
  </si>
  <si>
    <t>AMBALAJ SARF MALZ.</t>
  </si>
  <si>
    <t>YİYECEK/İÇECEK VE MUTFAK</t>
  </si>
  <si>
    <t>TEMİZLİK/
DEZENFEKTAN- KIRTASİYE</t>
  </si>
  <si>
    <t>HAMMADDE GİDERLERİ (USD/M2)</t>
  </si>
  <si>
    <t>ENERJİ GİDERLERİ (USD/M2)</t>
  </si>
  <si>
    <t>PERSONEL GİDERLERİ (USD/M2)</t>
  </si>
  <si>
    <t>AMBALAJ GİDERLERİ (USD/M2)</t>
  </si>
  <si>
    <t>G.Ü.G (USD/M2)</t>
  </si>
  <si>
    <t>TOPLAM GİDER (USD/M2)</t>
  </si>
  <si>
    <t>Aylar</t>
  </si>
  <si>
    <t>Rekolte  kg/m2</t>
  </si>
  <si>
    <t>Ürün Satış Fiyatı</t>
  </si>
  <si>
    <t>Gelir USD/m2</t>
  </si>
  <si>
    <t>Yazlık Üretim</t>
  </si>
  <si>
    <t>Kışlık Üretim</t>
  </si>
  <si>
    <t>USD/kg</t>
  </si>
  <si>
    <r>
      <rPr>
        <b/>
        <sz val="11"/>
        <color rgb="FFC00000"/>
        <rFont val="Times New Roman"/>
        <family val="1"/>
        <charset val="162"/>
      </rPr>
      <t xml:space="preserve">  </t>
    </r>
    <r>
      <rPr>
        <b/>
        <sz val="11"/>
        <color theme="1"/>
        <rFont val="Times New Roman"/>
        <family val="1"/>
        <charset val="162"/>
      </rPr>
      <t xml:space="preserve">TOPRAKSIZ TARIM YÖNTEMİYLE  SERADA SALKIM DOMATES  ÜRETİMİNE İLİŞKİN 
5 YILLIK GELİR / GİDER İCMAL TABLOSU </t>
    </r>
    <r>
      <rPr>
        <b/>
        <sz val="11"/>
        <color rgb="FFFF0000"/>
        <rFont val="Times New Roman"/>
        <family val="1"/>
        <charset val="162"/>
      </rPr>
      <t>yazlık üretim deseni</t>
    </r>
  </si>
  <si>
    <t xml:space="preserve"> anahtar teslim sera usd/m2</t>
  </si>
  <si>
    <t>AYLIK ÜRETİM MİKTARI (kg)</t>
  </si>
  <si>
    <t>DOMATES SATIŞ FİYATLARI usd/kg</t>
  </si>
  <si>
    <t>1. YIL
HASILAT usd</t>
  </si>
  <si>
    <t>2. YIL
HASILAT usd</t>
  </si>
  <si>
    <t>3. YIL
HASILAT usd</t>
  </si>
  <si>
    <t>4. YIL
HASILAT usd</t>
  </si>
  <si>
    <t>5. YIL
HASILAT usd</t>
  </si>
  <si>
    <t>TOPLAM GELİR   usd</t>
  </si>
  <si>
    <t>plastik</t>
  </si>
  <si>
    <t>Cam</t>
  </si>
  <si>
    <t>Hasılat Toplamı</t>
  </si>
  <si>
    <t>İşletme Giderleri</t>
  </si>
  <si>
    <t>kar/zarar</t>
  </si>
  <si>
    <t>yıl</t>
  </si>
  <si>
    <t>tohum tl/ad</t>
  </si>
  <si>
    <t>fide tl/adet</t>
  </si>
  <si>
    <t>kömür</t>
  </si>
  <si>
    <t>6000 kcall kömür  tüketimi kg/m2</t>
  </si>
  <si>
    <t>kömür tüketimi tl/m2 (6000 kcall)</t>
  </si>
  <si>
    <t>kömür tüketimi kg/m2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</si>
</sst>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_-* #,##0_-;\-* #,##0_-;_-* &quot;-&quot;??_-;_-@_-"/>
    <numFmt numFmtId="167" formatCode="#,##0.0"/>
    <numFmt numFmtId="168" formatCode="_-* #,##0.0000_-;\-* #,##0.0000_-;_-* &quot;-&quot;??_-;_-@_-"/>
    <numFmt numFmtId="169" formatCode="0.000"/>
    <numFmt numFmtId="170" formatCode="_-* #,##0.00_-;\-* #,##0.00_-;_-* &quot;-&quot;?_-;_-@_-"/>
    <numFmt numFmtId="171" formatCode="_-* #,##0.0_-;\-* #,##0.0_-;_-* &quot;-&quot;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1"/>
      <color theme="8" tint="-0.249977111117893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i/>
      <sz val="11"/>
      <color rgb="FFFF0000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b/>
      <i/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0"/>
      <name val="Calibri"/>
      <family val="2"/>
      <charset val="162"/>
      <scheme val="minor"/>
    </font>
    <font>
      <b/>
      <i/>
      <sz val="10"/>
      <color theme="0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1"/>
      <color rgb="FF002060"/>
      <name val="Calibri"/>
      <family val="2"/>
      <charset val="162"/>
      <scheme val="minor"/>
    </font>
    <font>
      <b/>
      <i/>
      <sz val="18"/>
      <color rgb="FF002060"/>
      <name val="Calibri"/>
      <family val="2"/>
      <charset val="162"/>
    </font>
    <font>
      <b/>
      <i/>
      <sz val="20"/>
      <color rgb="FF002060"/>
      <name val="Calibri"/>
      <family val="2"/>
      <charset val="162"/>
    </font>
    <font>
      <b/>
      <i/>
      <sz val="16"/>
      <color rgb="FF002060"/>
      <name val="Calibri"/>
      <family val="2"/>
      <charset val="162"/>
    </font>
    <font>
      <sz val="16"/>
      <color rgb="FF000000"/>
      <name val="Calibri"/>
      <family val="2"/>
      <charset val="162"/>
    </font>
    <font>
      <b/>
      <i/>
      <sz val="24"/>
      <color rgb="FF002060"/>
      <name val="Calibri"/>
      <family val="2"/>
      <charset val="162"/>
    </font>
    <font>
      <b/>
      <sz val="11"/>
      <color theme="1"/>
      <name val="Times New Roman"/>
      <family val="1"/>
      <charset val="162"/>
    </font>
    <font>
      <b/>
      <sz val="11"/>
      <color rgb="FFC00000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10"/>
      <color rgb="FF000000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C00000"/>
      <name val="Times New Roman"/>
      <family val="1"/>
      <charset val="162"/>
    </font>
    <font>
      <b/>
      <sz val="10"/>
      <color rgb="FF7030A0"/>
      <name val="Times New Roman"/>
      <family val="1"/>
      <charset val="162"/>
    </font>
    <font>
      <b/>
      <sz val="11"/>
      <color theme="9" tint="0.79998168889431442"/>
      <name val="Calibri"/>
      <family val="2"/>
      <charset val="162"/>
      <scheme val="minor"/>
    </font>
    <font>
      <sz val="11"/>
      <color theme="9" tint="0.79998168889431442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7">
    <xf numFmtId="0" fontId="0" fillId="0" borderId="0" xfId="0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164" fontId="8" fillId="2" borderId="1" xfId="1" applyNumberFormat="1" applyFont="1" applyFill="1" applyBorder="1" applyAlignment="1">
      <alignment vertical="center" wrapText="1"/>
    </xf>
    <xf numFmtId="43" fontId="8" fillId="2" borderId="1" xfId="1" applyFont="1" applyFill="1" applyBorder="1" applyAlignment="1">
      <alignment vertical="center" wrapText="1"/>
    </xf>
    <xf numFmtId="165" fontId="8" fillId="2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43" fontId="9" fillId="2" borderId="1" xfId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164" fontId="9" fillId="2" borderId="1" xfId="1" applyNumberFormat="1" applyFont="1" applyFill="1" applyBorder="1" applyAlignment="1">
      <alignment vertical="center"/>
    </xf>
    <xf numFmtId="0" fontId="0" fillId="2" borderId="1" xfId="0" applyFill="1" applyBorder="1"/>
    <xf numFmtId="164" fontId="10" fillId="2" borderId="1" xfId="0" applyNumberFormat="1" applyFont="1" applyFill="1" applyBorder="1" applyAlignment="1"/>
    <xf numFmtId="0" fontId="0" fillId="0" borderId="0" xfId="0" applyFill="1"/>
    <xf numFmtId="0" fontId="11" fillId="2" borderId="1" xfId="0" applyFont="1" applyFill="1" applyBorder="1"/>
    <xf numFmtId="164" fontId="11" fillId="2" borderId="1" xfId="1" applyNumberFormat="1" applyFont="1" applyFill="1" applyBorder="1" applyAlignment="1"/>
    <xf numFmtId="4" fontId="11" fillId="2" borderId="1" xfId="0" applyNumberFormat="1" applyFont="1" applyFill="1" applyBorder="1" applyAlignment="1"/>
    <xf numFmtId="166" fontId="11" fillId="2" borderId="1" xfId="1" applyNumberFormat="1" applyFont="1" applyFill="1" applyBorder="1" applyAlignment="1"/>
    <xf numFmtId="165" fontId="11" fillId="2" borderId="1" xfId="0" applyNumberFormat="1" applyFont="1" applyFill="1" applyBorder="1" applyAlignment="1">
      <alignment horizontal="center"/>
    </xf>
    <xf numFmtId="2" fontId="11" fillId="2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/>
    <xf numFmtId="2" fontId="11" fillId="2" borderId="1" xfId="0" applyNumberFormat="1" applyFont="1" applyFill="1" applyBorder="1" applyAlignment="1">
      <alignment vertical="center"/>
    </xf>
    <xf numFmtId="0" fontId="12" fillId="0" borderId="0" xfId="0" applyFont="1" applyFill="1" applyBorder="1"/>
    <xf numFmtId="166" fontId="13" fillId="0" borderId="0" xfId="0" applyNumberFormat="1" applyFont="1" applyFill="1" applyBorder="1"/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/>
    <xf numFmtId="43" fontId="0" fillId="3" borderId="1" xfId="1" applyFont="1" applyFill="1" applyBorder="1"/>
    <xf numFmtId="43" fontId="0" fillId="3" borderId="1" xfId="0" applyNumberFormat="1" applyFill="1" applyBorder="1"/>
    <xf numFmtId="43" fontId="12" fillId="3" borderId="1" xfId="0" applyNumberFormat="1" applyFont="1" applyFill="1" applyBorder="1"/>
    <xf numFmtId="0" fontId="0" fillId="3" borderId="1" xfId="0" applyFill="1" applyBorder="1"/>
    <xf numFmtId="43" fontId="0" fillId="3" borderId="1" xfId="1" applyNumberFormat="1" applyFont="1" applyFill="1" applyBorder="1"/>
    <xf numFmtId="43" fontId="0" fillId="3" borderId="0" xfId="0" applyNumberFormat="1" applyFill="1"/>
    <xf numFmtId="43" fontId="12" fillId="3" borderId="1" xfId="1" applyFont="1" applyFill="1" applyBorder="1"/>
    <xf numFmtId="0" fontId="4" fillId="0" borderId="0" xfId="0" applyFont="1"/>
    <xf numFmtId="0" fontId="3" fillId="4" borderId="4" xfId="0" applyFont="1" applyFill="1" applyBorder="1"/>
    <xf numFmtId="43" fontId="5" fillId="4" borderId="0" xfId="0" applyNumberFormat="1" applyFont="1" applyFill="1"/>
    <xf numFmtId="0" fontId="3" fillId="5" borderId="4" xfId="0" applyFont="1" applyFill="1" applyBorder="1" applyAlignment="1">
      <alignment horizontal="left"/>
    </xf>
    <xf numFmtId="43" fontId="3" fillId="5" borderId="0" xfId="0" applyNumberFormat="1" applyFont="1" applyFill="1" applyAlignment="1">
      <alignment horizontal="center"/>
    </xf>
    <xf numFmtId="0" fontId="3" fillId="5" borderId="1" xfId="0" applyFont="1" applyFill="1" applyBorder="1"/>
    <xf numFmtId="0" fontId="4" fillId="0" borderId="0" xfId="0" applyFont="1" applyFill="1" applyBorder="1" applyAlignment="1">
      <alignment horizontal="left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43" fontId="3" fillId="5" borderId="1" xfId="0" applyNumberFormat="1" applyFont="1" applyFill="1" applyBorder="1"/>
    <xf numFmtId="43" fontId="3" fillId="5" borderId="0" xfId="0" applyNumberFormat="1" applyFont="1" applyFill="1" applyBorder="1"/>
    <xf numFmtId="2" fontId="0" fillId="0" borderId="0" xfId="0" applyNumberFormat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3" fontId="1" fillId="6" borderId="1" xfId="0" applyNumberFormat="1" applyFont="1" applyFill="1" applyBorder="1"/>
    <xf numFmtId="0" fontId="0" fillId="6" borderId="1" xfId="0" applyFill="1" applyBorder="1"/>
    <xf numFmtId="43" fontId="0" fillId="2" borderId="1" xfId="0" applyNumberFormat="1" applyFill="1" applyBorder="1" applyAlignment="1">
      <alignment vertical="center"/>
    </xf>
    <xf numFmtId="43" fontId="0" fillId="2" borderId="1" xfId="0" applyNumberFormat="1" applyFill="1" applyBorder="1" applyAlignment="1">
      <alignment horizontal="center" vertical="center"/>
    </xf>
    <xf numFmtId="43" fontId="0" fillId="2" borderId="7" xfId="0" applyNumberFormat="1" applyFill="1" applyBorder="1" applyAlignment="1">
      <alignment horizontal="center" vertical="center"/>
    </xf>
    <xf numFmtId="43" fontId="0" fillId="7" borderId="1" xfId="0" applyNumberForma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2" borderId="1" xfId="2" applyFont="1" applyFill="1" applyBorder="1" applyAlignment="1">
      <alignment vertical="center"/>
    </xf>
    <xf numFmtId="43" fontId="0" fillId="2" borderId="1" xfId="2" applyNumberFormat="1" applyFont="1" applyFill="1" applyBorder="1" applyAlignment="1">
      <alignment horizontal="center" vertical="center"/>
    </xf>
    <xf numFmtId="43" fontId="15" fillId="8" borderId="1" xfId="2" applyFont="1" applyFill="1" applyBorder="1" applyAlignment="1">
      <alignment horizontal="center" vertical="center"/>
    </xf>
    <xf numFmtId="43" fontId="6" fillId="6" borderId="1" xfId="0" applyNumberFormat="1" applyFont="1" applyFill="1" applyBorder="1"/>
    <xf numFmtId="0" fontId="6" fillId="6" borderId="1" xfId="0" applyFont="1" applyFill="1" applyBorder="1"/>
    <xf numFmtId="43" fontId="4" fillId="2" borderId="1" xfId="2" applyFont="1" applyFill="1" applyBorder="1" applyAlignment="1">
      <alignment horizontal="center"/>
    </xf>
    <xf numFmtId="43" fontId="4" fillId="0" borderId="7" xfId="2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0" fillId="9" borderId="1" xfId="0" applyFill="1" applyBorder="1"/>
    <xf numFmtId="0" fontId="6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4" fontId="0" fillId="10" borderId="1" xfId="0" applyNumberFormat="1" applyFill="1" applyBorder="1"/>
    <xf numFmtId="0" fontId="0" fillId="10" borderId="1" xfId="0" applyFill="1" applyBorder="1"/>
    <xf numFmtId="0" fontId="4" fillId="9" borderId="1" xfId="0" applyFont="1" applyFill="1" applyBorder="1"/>
    <xf numFmtId="0" fontId="1" fillId="9" borderId="0" xfId="0" applyFont="1" applyFill="1" applyBorder="1" applyAlignment="1">
      <alignment horizontal="left"/>
    </xf>
    <xf numFmtId="0" fontId="4" fillId="9" borderId="0" xfId="0" applyFont="1" applyFill="1" applyBorder="1"/>
    <xf numFmtId="0" fontId="4" fillId="10" borderId="4" xfId="0" applyFont="1" applyFill="1" applyBorder="1" applyAlignment="1">
      <alignment horizontal="center"/>
    </xf>
    <xf numFmtId="4" fontId="4" fillId="10" borderId="1" xfId="0" applyNumberFormat="1" applyFont="1" applyFill="1" applyBorder="1"/>
    <xf numFmtId="0" fontId="4" fillId="10" borderId="1" xfId="0" applyFont="1" applyFill="1" applyBorder="1"/>
    <xf numFmtId="2" fontId="4" fillId="10" borderId="1" xfId="0" applyNumberFormat="1" applyFont="1" applyFill="1" applyBorder="1"/>
    <xf numFmtId="0" fontId="1" fillId="11" borderId="0" xfId="0" applyFont="1" applyFill="1" applyBorder="1" applyAlignment="1">
      <alignment horizontal="left"/>
    </xf>
    <xf numFmtId="0" fontId="0" fillId="11" borderId="0" xfId="0" applyFill="1"/>
    <xf numFmtId="0" fontId="10" fillId="11" borderId="11" xfId="0" applyFont="1" applyFill="1" applyBorder="1"/>
    <xf numFmtId="0" fontId="10" fillId="11" borderId="1" xfId="0" applyFont="1" applyFill="1" applyBorder="1"/>
    <xf numFmtId="0" fontId="10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right"/>
    </xf>
    <xf numFmtId="0" fontId="10" fillId="11" borderId="12" xfId="0" applyFont="1" applyFill="1" applyBorder="1" applyAlignment="1">
      <alignment horizontal="left"/>
    </xf>
    <xf numFmtId="0" fontId="10" fillId="11" borderId="13" xfId="0" applyFont="1" applyFill="1" applyBorder="1" applyAlignment="1">
      <alignment horizontal="left"/>
    </xf>
    <xf numFmtId="0" fontId="10" fillId="11" borderId="12" xfId="0" applyFont="1" applyFill="1" applyBorder="1"/>
    <xf numFmtId="0" fontId="10" fillId="11" borderId="13" xfId="0" applyFont="1" applyFill="1" applyBorder="1"/>
    <xf numFmtId="0" fontId="17" fillId="11" borderId="14" xfId="0" applyFont="1" applyFill="1" applyBorder="1"/>
    <xf numFmtId="0" fontId="17" fillId="11" borderId="15" xfId="0" applyFont="1" applyFill="1" applyBorder="1"/>
    <xf numFmtId="0" fontId="10" fillId="11" borderId="15" xfId="0" applyFont="1" applyFill="1" applyBorder="1"/>
    <xf numFmtId="0" fontId="10" fillId="11" borderId="16" xfId="0" applyFont="1" applyFill="1" applyBorder="1"/>
    <xf numFmtId="0" fontId="17" fillId="11" borderId="2" xfId="0" applyFont="1" applyFill="1" applyBorder="1"/>
    <xf numFmtId="0" fontId="10" fillId="11" borderId="2" xfId="0" applyFont="1" applyFill="1" applyBorder="1"/>
    <xf numFmtId="0" fontId="10" fillId="11" borderId="5" xfId="0" applyFont="1" applyFill="1" applyBorder="1"/>
    <xf numFmtId="165" fontId="18" fillId="11" borderId="19" xfId="0" applyNumberFormat="1" applyFont="1" applyFill="1" applyBorder="1" applyAlignment="1"/>
    <xf numFmtId="1" fontId="16" fillId="11" borderId="17" xfId="0" applyNumberFormat="1" applyFont="1" applyFill="1" applyBorder="1"/>
    <xf numFmtId="165" fontId="18" fillId="11" borderId="13" xfId="0" applyNumberFormat="1" applyFont="1" applyFill="1" applyBorder="1"/>
    <xf numFmtId="165" fontId="10" fillId="11" borderId="0" xfId="0" applyNumberFormat="1" applyFont="1" applyFill="1" applyAlignment="1">
      <alignment horizontal="center"/>
    </xf>
    <xf numFmtId="0" fontId="6" fillId="12" borderId="1" xfId="0" applyFont="1" applyFill="1" applyBorder="1"/>
    <xf numFmtId="0" fontId="6" fillId="12" borderId="13" xfId="0" applyFont="1" applyFill="1" applyBorder="1"/>
    <xf numFmtId="0" fontId="6" fillId="12" borderId="0" xfId="0" applyFont="1" applyFill="1" applyBorder="1"/>
    <xf numFmtId="14" fontId="0" fillId="0" borderId="0" xfId="0" applyNumberFormat="1"/>
    <xf numFmtId="0" fontId="0" fillId="12" borderId="1" xfId="0" applyFill="1" applyBorder="1"/>
    <xf numFmtId="168" fontId="0" fillId="12" borderId="13" xfId="0" applyNumberFormat="1" applyFill="1" applyBorder="1"/>
    <xf numFmtId="166" fontId="0" fillId="12" borderId="1" xfId="1" applyNumberFormat="1" applyFont="1" applyFill="1" applyBorder="1"/>
    <xf numFmtId="0" fontId="20" fillId="5" borderId="1" xfId="0" applyFont="1" applyFill="1" applyBorder="1"/>
    <xf numFmtId="0" fontId="20" fillId="5" borderId="4" xfId="0" applyFont="1" applyFill="1" applyBorder="1"/>
    <xf numFmtId="0" fontId="20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65" fontId="20" fillId="5" borderId="1" xfId="0" applyNumberFormat="1" applyFont="1" applyFill="1" applyBorder="1"/>
    <xf numFmtId="169" fontId="20" fillId="5" borderId="1" xfId="0" applyNumberFormat="1" applyFont="1" applyFill="1" applyBorder="1"/>
    <xf numFmtId="166" fontId="6" fillId="12" borderId="1" xfId="0" applyNumberFormat="1" applyFont="1" applyFill="1" applyBorder="1"/>
    <xf numFmtId="0" fontId="21" fillId="5" borderId="1" xfId="0" applyFont="1" applyFill="1" applyBorder="1"/>
    <xf numFmtId="0" fontId="21" fillId="5" borderId="1" xfId="0" applyFont="1" applyFill="1" applyBorder="1" applyAlignment="1">
      <alignment wrapText="1"/>
    </xf>
    <xf numFmtId="0" fontId="21" fillId="5" borderId="1" xfId="0" applyFont="1" applyFill="1" applyBorder="1" applyAlignment="1">
      <alignment horizontal="center" wrapText="1"/>
    </xf>
    <xf numFmtId="17" fontId="20" fillId="5" borderId="1" xfId="0" applyNumberFormat="1" applyFont="1" applyFill="1" applyBorder="1" applyAlignment="1">
      <alignment horizontal="left"/>
    </xf>
    <xf numFmtId="2" fontId="20" fillId="5" borderId="1" xfId="0" applyNumberFormat="1" applyFont="1" applyFill="1" applyBorder="1"/>
    <xf numFmtId="0" fontId="20" fillId="5" borderId="2" xfId="0" applyFont="1" applyFill="1" applyBorder="1"/>
    <xf numFmtId="0" fontId="21" fillId="5" borderId="2" xfId="0" applyFont="1" applyFill="1" applyBorder="1"/>
    <xf numFmtId="2" fontId="22" fillId="5" borderId="2" xfId="0" applyNumberFormat="1" applyFont="1" applyFill="1" applyBorder="1"/>
    <xf numFmtId="17" fontId="22" fillId="13" borderId="1" xfId="0" applyNumberFormat="1" applyFont="1" applyFill="1" applyBorder="1" applyAlignment="1">
      <alignment horizontal="left"/>
    </xf>
    <xf numFmtId="165" fontId="3" fillId="13" borderId="1" xfId="0" applyNumberFormat="1" applyFont="1" applyFill="1" applyBorder="1" applyAlignment="1">
      <alignment horizontal="right"/>
    </xf>
    <xf numFmtId="165" fontId="23" fillId="2" borderId="1" xfId="0" applyNumberFormat="1" applyFont="1" applyFill="1" applyBorder="1" applyAlignment="1">
      <alignment horizontal="right"/>
    </xf>
    <xf numFmtId="43" fontId="3" fillId="13" borderId="1" xfId="0" applyNumberFormat="1" applyFont="1" applyFill="1" applyBorder="1" applyAlignment="1">
      <alignment horizontal="right"/>
    </xf>
    <xf numFmtId="43" fontId="23" fillId="2" borderId="1" xfId="0" applyNumberFormat="1" applyFont="1" applyFill="1" applyBorder="1" applyAlignment="1">
      <alignment horizontal="right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2" borderId="1" xfId="0" applyFont="1" applyFill="1" applyBorder="1"/>
    <xf numFmtId="43" fontId="0" fillId="2" borderId="1" xfId="2" applyFont="1" applyFill="1" applyBorder="1" applyAlignment="1">
      <alignment horizontal="center" vertical="center"/>
    </xf>
    <xf numFmtId="43" fontId="0" fillId="7" borderId="1" xfId="2" applyFont="1" applyFill="1" applyBorder="1" applyAlignment="1">
      <alignment horizontal="center" vertical="center"/>
    </xf>
    <xf numFmtId="43" fontId="4" fillId="0" borderId="1" xfId="1" applyFont="1" applyBorder="1"/>
    <xf numFmtId="2" fontId="5" fillId="4" borderId="0" xfId="0" applyNumberFormat="1" applyFont="1" applyFill="1"/>
    <xf numFmtId="43" fontId="13" fillId="0" borderId="0" xfId="0" applyNumberFormat="1" applyFont="1"/>
    <xf numFmtId="0" fontId="3" fillId="14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24" fillId="15" borderId="25" xfId="0" applyFont="1" applyFill="1" applyBorder="1" applyAlignment="1">
      <alignment horizontal="center" vertical="center" wrapText="1" readingOrder="1"/>
    </xf>
    <xf numFmtId="0" fontId="26" fillId="15" borderId="28" xfId="0" applyFont="1" applyFill="1" applyBorder="1" applyAlignment="1">
      <alignment horizontal="center" vertical="center" wrapText="1" readingOrder="1"/>
    </xf>
    <xf numFmtId="0" fontId="24" fillId="15" borderId="29" xfId="0" applyFont="1" applyFill="1" applyBorder="1" applyAlignment="1">
      <alignment horizontal="center" vertical="center" wrapText="1" readingOrder="1"/>
    </xf>
    <xf numFmtId="0" fontId="26" fillId="15" borderId="30" xfId="0" applyFont="1" applyFill="1" applyBorder="1" applyAlignment="1">
      <alignment horizontal="center" vertical="center" wrapText="1" readingOrder="1"/>
    </xf>
    <xf numFmtId="0" fontId="27" fillId="16" borderId="31" xfId="0" applyFont="1" applyFill="1" applyBorder="1" applyAlignment="1">
      <alignment horizontal="center" wrapText="1" readingOrder="1"/>
    </xf>
    <xf numFmtId="0" fontId="27" fillId="16" borderId="28" xfId="0" applyFont="1" applyFill="1" applyBorder="1" applyAlignment="1">
      <alignment horizontal="center" wrapText="1" readingOrder="1"/>
    </xf>
    <xf numFmtId="2" fontId="27" fillId="16" borderId="28" xfId="0" applyNumberFormat="1" applyFont="1" applyFill="1" applyBorder="1" applyAlignment="1">
      <alignment horizontal="center" wrapText="1" readingOrder="1"/>
    </xf>
    <xf numFmtId="2" fontId="27" fillId="16" borderId="30" xfId="0" applyNumberFormat="1" applyFont="1" applyFill="1" applyBorder="1" applyAlignment="1">
      <alignment horizontal="center" wrapText="1" readingOrder="1"/>
    </xf>
    <xf numFmtId="0" fontId="28" fillId="17" borderId="32" xfId="0" applyFont="1" applyFill="1" applyBorder="1" applyAlignment="1">
      <alignment horizontal="center" vertical="center" wrapText="1" readingOrder="1"/>
    </xf>
    <xf numFmtId="0" fontId="28" fillId="17" borderId="33" xfId="0" applyFont="1" applyFill="1" applyBorder="1" applyAlignment="1">
      <alignment horizontal="center" vertical="center" wrapText="1" readingOrder="1"/>
    </xf>
    <xf numFmtId="0" fontId="28" fillId="17" borderId="34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4" fillId="0" borderId="1" xfId="0" applyFont="1" applyBorder="1"/>
    <xf numFmtId="4" fontId="35" fillId="0" borderId="1" xfId="0" applyNumberFormat="1" applyFont="1" applyBorder="1" applyAlignment="1">
      <alignment horizontal="right" vertical="center" wrapText="1" readingOrder="1"/>
    </xf>
    <xf numFmtId="167" fontId="35" fillId="0" borderId="1" xfId="0" applyNumberFormat="1" applyFont="1" applyBorder="1" applyAlignment="1">
      <alignment horizontal="center"/>
    </xf>
    <xf numFmtId="167" fontId="35" fillId="0" borderId="1" xfId="0" applyNumberFormat="1" applyFont="1" applyBorder="1" applyAlignment="1">
      <alignment horizontal="right"/>
    </xf>
    <xf numFmtId="0" fontId="0" fillId="0" borderId="5" xfId="0" applyBorder="1"/>
    <xf numFmtId="0" fontId="0" fillId="0" borderId="35" xfId="0" applyBorder="1"/>
    <xf numFmtId="0" fontId="0" fillId="0" borderId="20" xfId="0" applyBorder="1"/>
    <xf numFmtId="0" fontId="0" fillId="0" borderId="36" xfId="0" applyBorder="1"/>
    <xf numFmtId="0" fontId="34" fillId="16" borderId="1" xfId="0" applyFont="1" applyFill="1" applyBorder="1" applyAlignment="1"/>
    <xf numFmtId="164" fontId="32" fillId="16" borderId="1" xfId="0" applyNumberFormat="1" applyFont="1" applyFill="1" applyBorder="1" applyAlignment="1"/>
    <xf numFmtId="170" fontId="32" fillId="16" borderId="1" xfId="0" applyNumberFormat="1" applyFont="1" applyFill="1" applyBorder="1" applyAlignment="1"/>
    <xf numFmtId="167" fontId="34" fillId="16" borderId="1" xfId="0" applyNumberFormat="1" applyFont="1" applyFill="1" applyBorder="1" applyAlignment="1"/>
    <xf numFmtId="167" fontId="34" fillId="0" borderId="1" xfId="0" applyNumberFormat="1" applyFont="1" applyBorder="1" applyAlignment="1">
      <alignment horizontal="right"/>
    </xf>
    <xf numFmtId="167" fontId="33" fillId="0" borderId="1" xfId="0" applyNumberFormat="1" applyFont="1" applyBorder="1" applyAlignment="1">
      <alignment horizontal="center"/>
    </xf>
    <xf numFmtId="167" fontId="36" fillId="0" borderId="1" xfId="0" applyNumberFormat="1" applyFont="1" applyBorder="1" applyAlignment="1">
      <alignment horizontal="right"/>
    </xf>
    <xf numFmtId="0" fontId="0" fillId="0" borderId="37" xfId="0" applyBorder="1"/>
    <xf numFmtId="0" fontId="0" fillId="0" borderId="38" xfId="0" applyBorder="1"/>
    <xf numFmtId="4" fontId="33" fillId="2" borderId="1" xfId="0" applyNumberFormat="1" applyFont="1" applyFill="1" applyBorder="1" applyAlignment="1"/>
    <xf numFmtId="167" fontId="36" fillId="2" borderId="1" xfId="0" applyNumberFormat="1" applyFont="1" applyFill="1" applyBorder="1" applyAlignment="1">
      <alignment horizontal="right"/>
    </xf>
    <xf numFmtId="43" fontId="0" fillId="0" borderId="1" xfId="1" applyFont="1" applyBorder="1"/>
    <xf numFmtId="4" fontId="37" fillId="18" borderId="1" xfId="0" applyNumberFormat="1" applyFont="1" applyFill="1" applyBorder="1" applyAlignment="1"/>
    <xf numFmtId="167" fontId="36" fillId="19" borderId="1" xfId="0" applyNumberFormat="1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3" fontId="0" fillId="0" borderId="0" xfId="0" applyNumberFormat="1"/>
    <xf numFmtId="0" fontId="38" fillId="20" borderId="0" xfId="0" applyFont="1" applyFill="1" applyBorder="1"/>
    <xf numFmtId="166" fontId="38" fillId="20" borderId="0" xfId="1" applyNumberFormat="1" applyFont="1" applyFill="1" applyBorder="1" applyAlignment="1"/>
    <xf numFmtId="167" fontId="38" fillId="20" borderId="4" xfId="0" applyNumberFormat="1" applyFont="1" applyFill="1" applyBorder="1" applyAlignment="1">
      <alignment vertical="center"/>
    </xf>
    <xf numFmtId="167" fontId="38" fillId="20" borderId="0" xfId="0" applyNumberFormat="1" applyFont="1" applyFill="1"/>
    <xf numFmtId="0" fontId="39" fillId="20" borderId="0" xfId="0" applyFont="1" applyFill="1"/>
    <xf numFmtId="43" fontId="3" fillId="4" borderId="0" xfId="0" applyNumberFormat="1" applyFont="1" applyFill="1"/>
    <xf numFmtId="43" fontId="11" fillId="2" borderId="1" xfId="1" applyNumberFormat="1" applyFont="1" applyFill="1" applyBorder="1" applyAlignment="1"/>
    <xf numFmtId="4" fontId="8" fillId="2" borderId="1" xfId="0" applyNumberFormat="1" applyFont="1" applyFill="1" applyBorder="1" applyAlignment="1">
      <alignment vertical="center"/>
    </xf>
    <xf numFmtId="0" fontId="6" fillId="21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 wrapText="1"/>
    </xf>
    <xf numFmtId="164" fontId="8" fillId="21" borderId="1" xfId="1" applyNumberFormat="1" applyFont="1" applyFill="1" applyBorder="1" applyAlignment="1">
      <alignment vertical="center" wrapText="1"/>
    </xf>
    <xf numFmtId="4" fontId="8" fillId="21" borderId="1" xfId="0" applyNumberFormat="1" applyFont="1" applyFill="1" applyBorder="1" applyAlignment="1">
      <alignment vertical="center"/>
    </xf>
    <xf numFmtId="43" fontId="8" fillId="21" borderId="1" xfId="1" applyFont="1" applyFill="1" applyBorder="1" applyAlignment="1">
      <alignment vertical="center" wrapText="1"/>
    </xf>
    <xf numFmtId="165" fontId="8" fillId="21" borderId="1" xfId="0" applyNumberFormat="1" applyFont="1" applyFill="1" applyBorder="1" applyAlignment="1">
      <alignment horizontal="center"/>
    </xf>
    <xf numFmtId="2" fontId="8" fillId="21" borderId="1" xfId="0" applyNumberFormat="1" applyFont="1" applyFill="1" applyBorder="1" applyAlignment="1">
      <alignment horizontal="center"/>
    </xf>
    <xf numFmtId="43" fontId="9" fillId="21" borderId="1" xfId="1" applyFont="1" applyFill="1" applyBorder="1" applyAlignment="1">
      <alignment vertical="center"/>
    </xf>
    <xf numFmtId="2" fontId="8" fillId="21" borderId="1" xfId="0" applyNumberFormat="1" applyFont="1" applyFill="1" applyBorder="1" applyAlignment="1">
      <alignment vertical="center"/>
    </xf>
    <xf numFmtId="164" fontId="9" fillId="21" borderId="1" xfId="1" applyNumberFormat="1" applyFont="1" applyFill="1" applyBorder="1" applyAlignment="1">
      <alignment vertical="center"/>
    </xf>
    <xf numFmtId="0" fontId="0" fillId="21" borderId="1" xfId="0" applyFill="1" applyBorder="1"/>
    <xf numFmtId="164" fontId="10" fillId="21" borderId="1" xfId="0" applyNumberFormat="1" applyFont="1" applyFill="1" applyBorder="1" applyAlignment="1"/>
    <xf numFmtId="0" fontId="11" fillId="21" borderId="1" xfId="0" applyFont="1" applyFill="1" applyBorder="1"/>
    <xf numFmtId="164" fontId="11" fillId="21" borderId="1" xfId="1" applyNumberFormat="1" applyFont="1" applyFill="1" applyBorder="1" applyAlignment="1"/>
    <xf numFmtId="4" fontId="11" fillId="21" borderId="1" xfId="0" applyNumberFormat="1" applyFont="1" applyFill="1" applyBorder="1" applyAlignment="1"/>
    <xf numFmtId="43" fontId="11" fillId="21" borderId="1" xfId="1" applyNumberFormat="1" applyFont="1" applyFill="1" applyBorder="1" applyAlignment="1"/>
    <xf numFmtId="166" fontId="11" fillId="21" borderId="1" xfId="1" applyNumberFormat="1" applyFont="1" applyFill="1" applyBorder="1" applyAlignment="1"/>
    <xf numFmtId="165" fontId="11" fillId="21" borderId="1" xfId="0" applyNumberFormat="1" applyFont="1" applyFill="1" applyBorder="1" applyAlignment="1">
      <alignment horizontal="center"/>
    </xf>
    <xf numFmtId="2" fontId="11" fillId="21" borderId="1" xfId="0" applyNumberFormat="1" applyFont="1" applyFill="1" applyBorder="1" applyAlignment="1">
      <alignment horizontal="center"/>
    </xf>
    <xf numFmtId="164" fontId="11" fillId="21" borderId="1" xfId="0" applyNumberFormat="1" applyFont="1" applyFill="1" applyBorder="1" applyAlignment="1"/>
    <xf numFmtId="2" fontId="11" fillId="21" borderId="1" xfId="0" applyNumberFormat="1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2" borderId="0" xfId="0" applyFill="1" applyAlignment="1">
      <alignment horizontal="center"/>
    </xf>
    <xf numFmtId="167" fontId="3" fillId="20" borderId="0" xfId="0" applyNumberFormat="1" applyFont="1" applyFill="1"/>
    <xf numFmtId="43" fontId="39" fillId="20" borderId="0" xfId="0" applyNumberFormat="1" applyFont="1" applyFill="1"/>
    <xf numFmtId="0" fontId="3" fillId="14" borderId="1" xfId="0" applyFont="1" applyFill="1" applyBorder="1" applyAlignment="1">
      <alignment horizontal="center" vertical="center" wrapText="1"/>
    </xf>
    <xf numFmtId="0" fontId="24" fillId="15" borderId="22" xfId="0" applyFont="1" applyFill="1" applyBorder="1" applyAlignment="1">
      <alignment horizontal="center" vertical="center" wrapText="1" readingOrder="1"/>
    </xf>
    <xf numFmtId="0" fontId="24" fillId="15" borderId="27" xfId="0" applyFont="1" applyFill="1" applyBorder="1" applyAlignment="1">
      <alignment horizontal="center" vertical="center" wrapText="1" readingOrder="1"/>
    </xf>
    <xf numFmtId="0" fontId="25" fillId="15" borderId="23" xfId="0" applyFont="1" applyFill="1" applyBorder="1" applyAlignment="1">
      <alignment horizontal="center" vertical="center" wrapText="1" readingOrder="1"/>
    </xf>
    <xf numFmtId="0" fontId="25" fillId="15" borderId="24" xfId="0" applyFont="1" applyFill="1" applyBorder="1" applyAlignment="1">
      <alignment horizontal="center" vertical="center" wrapText="1" readingOrder="1"/>
    </xf>
    <xf numFmtId="0" fontId="25" fillId="15" borderId="26" xfId="0" applyFont="1" applyFill="1" applyBorder="1" applyAlignment="1">
      <alignment horizontal="center" vertical="center" wrapText="1" readingOrder="1"/>
    </xf>
    <xf numFmtId="0" fontId="18" fillId="11" borderId="17" xfId="0" applyFont="1" applyFill="1" applyBorder="1" applyAlignment="1">
      <alignment horizontal="center"/>
    </xf>
    <xf numFmtId="0" fontId="18" fillId="11" borderId="18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left"/>
    </xf>
    <xf numFmtId="0" fontId="10" fillId="11" borderId="20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20" fillId="5" borderId="13" xfId="0" applyFont="1" applyFill="1" applyBorder="1" applyAlignment="1">
      <alignment horizontal="center"/>
    </xf>
    <xf numFmtId="0" fontId="20" fillId="5" borderId="21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6" fillId="11" borderId="9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/>
    </xf>
    <xf numFmtId="0" fontId="32" fillId="16" borderId="13" xfId="0" applyFont="1" applyFill="1" applyBorder="1" applyAlignment="1">
      <alignment horizontal="right"/>
    </xf>
    <xf numFmtId="0" fontId="32" fillId="16" borderId="21" xfId="0" applyFont="1" applyFill="1" applyBorder="1" applyAlignment="1">
      <alignment horizontal="right"/>
    </xf>
    <xf numFmtId="0" fontId="32" fillId="16" borderId="7" xfId="0" applyFont="1" applyFill="1" applyBorder="1" applyAlignment="1">
      <alignment horizontal="right"/>
    </xf>
    <xf numFmtId="3" fontId="33" fillId="2" borderId="13" xfId="0" applyNumberFormat="1" applyFont="1" applyFill="1" applyBorder="1" applyAlignment="1">
      <alignment horizontal="right"/>
    </xf>
    <xf numFmtId="3" fontId="33" fillId="2" borderId="21" xfId="0" applyNumberFormat="1" applyFont="1" applyFill="1" applyBorder="1" applyAlignment="1">
      <alignment horizontal="right"/>
    </xf>
    <xf numFmtId="3" fontId="37" fillId="18" borderId="13" xfId="0" applyNumberFormat="1" applyFont="1" applyFill="1" applyBorder="1" applyAlignment="1">
      <alignment horizontal="right"/>
    </xf>
    <xf numFmtId="3" fontId="37" fillId="18" borderId="21" xfId="0" applyNumberFormat="1" applyFont="1" applyFill="1" applyBorder="1" applyAlignment="1">
      <alignment horizontal="right"/>
    </xf>
    <xf numFmtId="3" fontId="37" fillId="18" borderId="7" xfId="0" applyNumberFormat="1" applyFont="1" applyFill="1" applyBorder="1" applyAlignment="1">
      <alignment horizontal="right"/>
    </xf>
    <xf numFmtId="0" fontId="29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2" fillId="16" borderId="2" xfId="0" applyFont="1" applyFill="1" applyBorder="1" applyAlignment="1">
      <alignment horizontal="center" vertical="center" wrapText="1"/>
    </xf>
    <xf numFmtId="0" fontId="32" fillId="16" borderId="3" xfId="0" applyFont="1" applyFill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center" wrapText="1"/>
    </xf>
    <xf numFmtId="0" fontId="32" fillId="16" borderId="2" xfId="0" applyFont="1" applyFill="1" applyBorder="1" applyAlignment="1">
      <alignment horizontal="center" wrapText="1"/>
    </xf>
    <xf numFmtId="0" fontId="32" fillId="16" borderId="3" xfId="0" applyFont="1" applyFill="1" applyBorder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/>
    </xf>
    <xf numFmtId="171" fontId="40" fillId="23" borderId="1" xfId="0" applyNumberFormat="1" applyFont="1" applyFill="1" applyBorder="1"/>
  </cellXfs>
  <cellStyles count="3">
    <cellStyle name="Normal" xfId="0" builtinId="0"/>
    <cellStyle name="Virgül" xfId="1" builtinId="3"/>
    <cellStyle name="Virgü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murat%20benli/yedek/SERA%20MAL&#304;YET%20ANAL&#304;Z&#304;/maliyet%20analiz2024/sera%20i&#351;letme%20maliyetler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urkseker/Desktop/GENEL%20SERA%20MAL&#304;Y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ışlık desen"/>
      <sheetName val="yazlık desen"/>
      <sheetName val="ara desen"/>
      <sheetName val="gelir tablosu"/>
      <sheetName val="yatırımın geri dönüş süresi"/>
      <sheetName val="karşılaştırmalı icmal tablo"/>
    </sheetNames>
    <sheetDataSet>
      <sheetData sheetId="0">
        <row r="4">
          <cell r="F4">
            <v>50</v>
          </cell>
        </row>
        <row r="5">
          <cell r="F5">
            <v>60</v>
          </cell>
        </row>
        <row r="6">
          <cell r="F6">
            <v>45</v>
          </cell>
        </row>
        <row r="7">
          <cell r="F7">
            <v>25</v>
          </cell>
        </row>
        <row r="10">
          <cell r="F10">
            <v>25</v>
          </cell>
        </row>
        <row r="11">
          <cell r="F11">
            <v>30</v>
          </cell>
        </row>
        <row r="12">
          <cell r="F12">
            <v>40</v>
          </cell>
        </row>
        <row r="13">
          <cell r="F13">
            <v>50</v>
          </cell>
        </row>
        <row r="14">
          <cell r="F14">
            <v>50</v>
          </cell>
        </row>
        <row r="92">
          <cell r="N92">
            <v>4.2</v>
          </cell>
        </row>
        <row r="93">
          <cell r="N93">
            <v>4.2</v>
          </cell>
        </row>
        <row r="94">
          <cell r="N94">
            <v>4.2</v>
          </cell>
        </row>
        <row r="95">
          <cell r="N95">
            <v>4.2</v>
          </cell>
        </row>
        <row r="96">
          <cell r="N96">
            <v>4.2</v>
          </cell>
        </row>
        <row r="97">
          <cell r="N97">
            <v>4.2</v>
          </cell>
        </row>
        <row r="98">
          <cell r="N98">
            <v>4.2</v>
          </cell>
        </row>
        <row r="99">
          <cell r="N99">
            <v>4.2</v>
          </cell>
        </row>
        <row r="100">
          <cell r="N100">
            <v>4.2</v>
          </cell>
        </row>
        <row r="101">
          <cell r="N101">
            <v>4.2</v>
          </cell>
        </row>
        <row r="102">
          <cell r="N102">
            <v>4.2</v>
          </cell>
        </row>
        <row r="103">
          <cell r="N103">
            <v>4.2</v>
          </cell>
        </row>
      </sheetData>
      <sheetData sheetId="1"/>
      <sheetData sheetId="2"/>
      <sheetData sheetId="3">
        <row r="4">
          <cell r="P4">
            <v>0</v>
          </cell>
        </row>
        <row r="5">
          <cell r="P5">
            <v>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ışlık seraların girdi maliyetl"/>
      <sheetName val="yazlık sera girdi maliyeti"/>
      <sheetName val="Sayfa1"/>
      <sheetName val="MİR"/>
      <sheetName val="girdilerin bedeli"/>
      <sheetName val="aylık sera bazlı maliyet"/>
    </sheetNames>
    <sheetDataSet>
      <sheetData sheetId="0" refreshError="1"/>
      <sheetData sheetId="1" refreshError="1">
        <row r="9">
          <cell r="D9">
            <v>46.5</v>
          </cell>
        </row>
        <row r="10">
          <cell r="D10">
            <v>99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workbookViewId="0">
      <selection activeCell="A17" sqref="A17:J17"/>
    </sheetView>
  </sheetViews>
  <sheetFormatPr defaultRowHeight="15" x14ac:dyDescent="0.25"/>
  <cols>
    <col min="1" max="1" width="19.7109375" customWidth="1"/>
    <col min="2" max="2" width="14.7109375" customWidth="1"/>
    <col min="3" max="3" width="19.42578125" customWidth="1"/>
    <col min="4" max="8" width="15.7109375" customWidth="1"/>
    <col min="9" max="9" width="18.28515625" customWidth="1"/>
    <col min="10" max="10" width="15.7109375" customWidth="1"/>
    <col min="11" max="11" width="12" hidden="1" customWidth="1"/>
    <col min="12" max="12" width="12.7109375" hidden="1" customWidth="1"/>
    <col min="13" max="13" width="14.140625" customWidth="1"/>
    <col min="14" max="14" width="13.7109375" customWidth="1"/>
    <col min="15" max="15" width="12.42578125" customWidth="1"/>
    <col min="16" max="16" width="14.5703125" customWidth="1"/>
    <col min="17" max="17" width="13.7109375" customWidth="1"/>
    <col min="18" max="20" width="8.85546875" customWidth="1"/>
  </cols>
  <sheetData>
    <row r="1" spans="1:11" x14ac:dyDescent="0.25">
      <c r="A1" s="248" t="s">
        <v>0</v>
      </c>
      <c r="B1" s="248" t="s">
        <v>1</v>
      </c>
      <c r="C1" s="243" t="s">
        <v>2</v>
      </c>
      <c r="D1" s="248" t="s">
        <v>3</v>
      </c>
      <c r="E1" s="249" t="s">
        <v>4</v>
      </c>
      <c r="F1" s="251" t="s">
        <v>5</v>
      </c>
      <c r="G1" s="251"/>
      <c r="H1" s="243" t="s">
        <v>6</v>
      </c>
      <c r="I1" s="243"/>
      <c r="J1" s="243"/>
    </row>
    <row r="2" spans="1:11" x14ac:dyDescent="0.25">
      <c r="A2" s="248"/>
      <c r="B2" s="248"/>
      <c r="C2" s="243"/>
      <c r="D2" s="248"/>
      <c r="E2" s="250"/>
      <c r="F2" s="1" t="s">
        <v>7</v>
      </c>
      <c r="G2" s="1" t="s">
        <v>8</v>
      </c>
      <c r="H2" s="2" t="s">
        <v>9</v>
      </c>
      <c r="I2" s="2" t="s">
        <v>10</v>
      </c>
      <c r="J2" s="2" t="s">
        <v>11</v>
      </c>
    </row>
    <row r="3" spans="1:11" x14ac:dyDescent="0.25">
      <c r="A3" s="3" t="s">
        <v>12</v>
      </c>
      <c r="B3" s="4">
        <f>H65*B35</f>
        <v>0</v>
      </c>
      <c r="C3" s="193">
        <f>J21</f>
        <v>1747580.38</v>
      </c>
      <c r="D3" s="5">
        <f>B3*F3</f>
        <v>0</v>
      </c>
      <c r="E3" s="5">
        <f>D3-C3</f>
        <v>-1747580.38</v>
      </c>
      <c r="F3" s="6">
        <v>55</v>
      </c>
      <c r="G3" s="7">
        <f>F3/C36</f>
        <v>1.3924050632911393</v>
      </c>
      <c r="H3" s="8">
        <f>D3/G41</f>
        <v>0</v>
      </c>
      <c r="I3" s="9">
        <f>C3/G41</f>
        <v>87.379019</v>
      </c>
      <c r="J3" s="9">
        <f>H3-I3</f>
        <v>-87.379019</v>
      </c>
    </row>
    <row r="4" spans="1:11" x14ac:dyDescent="0.25">
      <c r="A4" s="3" t="s">
        <v>13</v>
      </c>
      <c r="B4" s="4">
        <f>H66*B35</f>
        <v>0</v>
      </c>
      <c r="C4" s="193">
        <f t="shared" ref="C4:C14" si="0">J22</f>
        <v>1796692.8599999999</v>
      </c>
      <c r="D4" s="5">
        <f t="shared" ref="D4:D14" si="1">B4*F4</f>
        <v>0</v>
      </c>
      <c r="E4" s="5">
        <f t="shared" ref="E4:E14" si="2">D4-C4</f>
        <v>-1796692.8599999999</v>
      </c>
      <c r="F4" s="6">
        <v>55</v>
      </c>
      <c r="G4" s="7">
        <f>F4/C36</f>
        <v>1.3924050632911393</v>
      </c>
      <c r="H4" s="8">
        <f>D4/G41</f>
        <v>0</v>
      </c>
      <c r="I4" s="9">
        <f>C4/G41</f>
        <v>89.834643</v>
      </c>
      <c r="J4" s="9">
        <f t="shared" ref="J4:J15" si="3">H4-I4</f>
        <v>-89.834643</v>
      </c>
      <c r="K4" s="10"/>
    </row>
    <row r="5" spans="1:11" x14ac:dyDescent="0.25">
      <c r="A5" s="3" t="s">
        <v>14</v>
      </c>
      <c r="B5" s="4">
        <f>H67*B35</f>
        <v>20000</v>
      </c>
      <c r="C5" s="193">
        <f t="shared" si="0"/>
        <v>1562795.3128571429</v>
      </c>
      <c r="D5" s="5">
        <f t="shared" si="1"/>
        <v>1100000</v>
      </c>
      <c r="E5" s="5">
        <f t="shared" si="2"/>
        <v>-462795.31285714288</v>
      </c>
      <c r="F5" s="6">
        <v>55</v>
      </c>
      <c r="G5" s="7">
        <f>F5/C36</f>
        <v>1.3924050632911393</v>
      </c>
      <c r="H5" s="8">
        <f>D5/G41</f>
        <v>55</v>
      </c>
      <c r="I5" s="9">
        <f>C5/G41</f>
        <v>78.139765642857142</v>
      </c>
      <c r="J5" s="9">
        <f t="shared" si="3"/>
        <v>-23.139765642857142</v>
      </c>
      <c r="K5" s="10"/>
    </row>
    <row r="6" spans="1:11" x14ac:dyDescent="0.25">
      <c r="A6" s="3" t="s">
        <v>15</v>
      </c>
      <c r="B6" s="4">
        <f>H68*B35</f>
        <v>80000</v>
      </c>
      <c r="C6" s="193">
        <f t="shared" si="0"/>
        <v>1410622.0071428569</v>
      </c>
      <c r="D6" s="5">
        <f t="shared" si="1"/>
        <v>4000000</v>
      </c>
      <c r="E6" s="5">
        <f t="shared" si="2"/>
        <v>2589377.9928571433</v>
      </c>
      <c r="F6" s="6">
        <v>50</v>
      </c>
      <c r="G6" s="7">
        <f>F6/C36</f>
        <v>1.2658227848101267</v>
      </c>
      <c r="H6" s="11">
        <f>D6/G41</f>
        <v>200</v>
      </c>
      <c r="I6" s="9">
        <f>C6/G41</f>
        <v>70.531100357142847</v>
      </c>
      <c r="J6" s="9">
        <f t="shared" si="3"/>
        <v>129.46889964285714</v>
      </c>
      <c r="K6" s="10"/>
    </row>
    <row r="7" spans="1:11" x14ac:dyDescent="0.25">
      <c r="A7" s="3" t="s">
        <v>16</v>
      </c>
      <c r="B7" s="4">
        <f>H69*B35</f>
        <v>120000</v>
      </c>
      <c r="C7" s="193">
        <f t="shared" si="0"/>
        <v>1446914.2085714284</v>
      </c>
      <c r="D7" s="5">
        <f t="shared" si="1"/>
        <v>3000000</v>
      </c>
      <c r="E7" s="5">
        <f t="shared" si="2"/>
        <v>1553085.7914285716</v>
      </c>
      <c r="F7" s="6">
        <v>25</v>
      </c>
      <c r="G7" s="7">
        <f>F7/C36</f>
        <v>0.63291139240506333</v>
      </c>
      <c r="H7" s="11">
        <f>D7/G41</f>
        <v>150</v>
      </c>
      <c r="I7" s="9">
        <f>C7/G41</f>
        <v>72.345710428571422</v>
      </c>
      <c r="J7" s="9">
        <f t="shared" si="3"/>
        <v>77.654289571428578</v>
      </c>
      <c r="K7" s="10"/>
    </row>
    <row r="8" spans="1:11" x14ac:dyDescent="0.25">
      <c r="A8" s="12" t="s">
        <v>17</v>
      </c>
      <c r="B8" s="4">
        <f>H70*B35</f>
        <v>180000</v>
      </c>
      <c r="C8" s="193">
        <f t="shared" si="0"/>
        <v>1906869.4857142856</v>
      </c>
      <c r="D8" s="5">
        <f t="shared" si="1"/>
        <v>4500000</v>
      </c>
      <c r="E8" s="5">
        <f t="shared" si="2"/>
        <v>2593130.5142857144</v>
      </c>
      <c r="F8" s="6">
        <v>25</v>
      </c>
      <c r="G8" s="7">
        <f>F8/C36</f>
        <v>0.63291139240506333</v>
      </c>
      <c r="H8" s="13">
        <f>D8/G41</f>
        <v>225</v>
      </c>
      <c r="I8" s="9">
        <f>C8/G41</f>
        <v>95.343474285714279</v>
      </c>
      <c r="J8" s="9">
        <f t="shared" si="3"/>
        <v>129.65652571428572</v>
      </c>
      <c r="K8" s="14"/>
    </row>
    <row r="9" spans="1:11" x14ac:dyDescent="0.25">
      <c r="A9" s="12" t="s">
        <v>18</v>
      </c>
      <c r="B9" s="4">
        <f>H71*B35</f>
        <v>220000</v>
      </c>
      <c r="C9" s="193">
        <f t="shared" si="0"/>
        <v>2399019.7657142854</v>
      </c>
      <c r="D9" s="5">
        <f t="shared" si="1"/>
        <v>5500000</v>
      </c>
      <c r="E9" s="5">
        <f t="shared" si="2"/>
        <v>3100980.2342857146</v>
      </c>
      <c r="F9" s="6">
        <v>25</v>
      </c>
      <c r="G9" s="7">
        <f>F9/C36</f>
        <v>0.63291139240506333</v>
      </c>
      <c r="H9" s="13">
        <f>D9/G41</f>
        <v>275</v>
      </c>
      <c r="I9" s="9">
        <f>C9/G41</f>
        <v>119.95098828571427</v>
      </c>
      <c r="J9" s="9">
        <f t="shared" si="3"/>
        <v>155.04901171428571</v>
      </c>
    </row>
    <row r="10" spans="1:11" x14ac:dyDescent="0.25">
      <c r="A10" s="12" t="s">
        <v>19</v>
      </c>
      <c r="B10" s="4">
        <f>H72*B35</f>
        <v>220000</v>
      </c>
      <c r="C10" s="193">
        <f t="shared" si="0"/>
        <v>2134561.2000000002</v>
      </c>
      <c r="D10" s="5">
        <f t="shared" si="1"/>
        <v>5500000</v>
      </c>
      <c r="E10" s="5">
        <f t="shared" si="2"/>
        <v>3365438.8</v>
      </c>
      <c r="F10" s="6">
        <v>25</v>
      </c>
      <c r="G10" s="7">
        <f>F10/C36</f>
        <v>0.63291139240506333</v>
      </c>
      <c r="H10" s="13">
        <f>D10/G41</f>
        <v>275</v>
      </c>
      <c r="I10" s="9">
        <f>C10/G41</f>
        <v>106.72806000000001</v>
      </c>
      <c r="J10" s="9">
        <f t="shared" si="3"/>
        <v>168.27193999999997</v>
      </c>
    </row>
    <row r="11" spans="1:11" x14ac:dyDescent="0.25">
      <c r="A11" s="12" t="s">
        <v>20</v>
      </c>
      <c r="B11" s="4">
        <f>H73*B35</f>
        <v>120000</v>
      </c>
      <c r="C11" s="193">
        <f t="shared" si="0"/>
        <v>1426891.4857142856</v>
      </c>
      <c r="D11" s="5">
        <f t="shared" si="1"/>
        <v>3600000</v>
      </c>
      <c r="E11" s="5">
        <f t="shared" si="2"/>
        <v>2173108.5142857144</v>
      </c>
      <c r="F11" s="6">
        <v>30</v>
      </c>
      <c r="G11" s="7">
        <f>F11/C36</f>
        <v>0.759493670886076</v>
      </c>
      <c r="H11" s="13">
        <f>D11/G41</f>
        <v>180</v>
      </c>
      <c r="I11" s="9">
        <f>C11/G41</f>
        <v>71.344574285714287</v>
      </c>
      <c r="J11" s="9">
        <f t="shared" si="3"/>
        <v>108.65542571428571</v>
      </c>
    </row>
    <row r="12" spans="1:11" x14ac:dyDescent="0.25">
      <c r="A12" s="12" t="s">
        <v>21</v>
      </c>
      <c r="B12" s="4">
        <f>H74*B35</f>
        <v>100000</v>
      </c>
      <c r="C12" s="193">
        <f t="shared" si="0"/>
        <v>1180578.672857143</v>
      </c>
      <c r="D12" s="5">
        <f t="shared" si="1"/>
        <v>3500000</v>
      </c>
      <c r="E12" s="5">
        <f t="shared" si="2"/>
        <v>2319421.327142857</v>
      </c>
      <c r="F12" s="6">
        <v>35</v>
      </c>
      <c r="G12" s="7">
        <f>F12/C36</f>
        <v>0.88607594936708856</v>
      </c>
      <c r="H12" s="13">
        <f>D12/G41</f>
        <v>175</v>
      </c>
      <c r="I12" s="9">
        <f>C12/G41</f>
        <v>59.028933642857147</v>
      </c>
      <c r="J12" s="9">
        <f t="shared" si="3"/>
        <v>115.97106635714286</v>
      </c>
    </row>
    <row r="13" spans="1:11" x14ac:dyDescent="0.25">
      <c r="A13" s="12" t="s">
        <v>22</v>
      </c>
      <c r="B13" s="4">
        <f>H75*B35</f>
        <v>80000</v>
      </c>
      <c r="C13" s="193">
        <f t="shared" si="0"/>
        <v>2828545.04</v>
      </c>
      <c r="D13" s="5">
        <f t="shared" si="1"/>
        <v>3200000</v>
      </c>
      <c r="E13" s="5">
        <f t="shared" si="2"/>
        <v>371454.95999999996</v>
      </c>
      <c r="F13" s="6">
        <v>40</v>
      </c>
      <c r="G13" s="7">
        <f>F13/C36</f>
        <v>1.0126582278481013</v>
      </c>
      <c r="H13" s="13">
        <f>D13/G41</f>
        <v>160</v>
      </c>
      <c r="I13" s="9">
        <f>C13/G41</f>
        <v>141.42725200000001</v>
      </c>
      <c r="J13" s="9">
        <f t="shared" si="3"/>
        <v>18.57274799999999</v>
      </c>
    </row>
    <row r="14" spans="1:11" x14ac:dyDescent="0.25">
      <c r="A14" s="12" t="s">
        <v>23</v>
      </c>
      <c r="B14" s="4">
        <f>H76*B35</f>
        <v>0</v>
      </c>
      <c r="C14" s="193">
        <f t="shared" si="0"/>
        <v>1953300.2</v>
      </c>
      <c r="D14" s="5">
        <f t="shared" si="1"/>
        <v>0</v>
      </c>
      <c r="E14" s="5">
        <f t="shared" si="2"/>
        <v>-1953300.2</v>
      </c>
      <c r="F14" s="6">
        <f>'[1]kışlık desen'!F14</f>
        <v>50</v>
      </c>
      <c r="G14" s="7">
        <f>F14/C36</f>
        <v>1.2658227848101267</v>
      </c>
      <c r="H14" s="13">
        <f>D14/G41</f>
        <v>0</v>
      </c>
      <c r="I14" s="9">
        <f>C14/G41</f>
        <v>97.665009999999995</v>
      </c>
      <c r="J14" s="9">
        <f t="shared" si="3"/>
        <v>-97.665009999999995</v>
      </c>
    </row>
    <row r="15" spans="1:11" ht="17.45" customHeight="1" x14ac:dyDescent="0.25">
      <c r="A15" s="15" t="s">
        <v>24</v>
      </c>
      <c r="B15" s="16">
        <f>SUM(B3:B14)</f>
        <v>1140000</v>
      </c>
      <c r="C15" s="17">
        <f>SUM(C3:C14)</f>
        <v>21794370.618571427</v>
      </c>
      <c r="D15" s="192">
        <f>SUM(D3:D14)</f>
        <v>33900000</v>
      </c>
      <c r="E15" s="18">
        <f>SUM(E3:E14)</f>
        <v>12105629.381428573</v>
      </c>
      <c r="F15" s="19">
        <f t="shared" ref="F15" si="4">D15/B15</f>
        <v>29.736842105263158</v>
      </c>
      <c r="G15" s="20">
        <f>F15/C36</f>
        <v>0.75283144570286475</v>
      </c>
      <c r="H15" s="21">
        <f>D15/G41</f>
        <v>1695</v>
      </c>
      <c r="I15" s="22">
        <f>C15/G41</f>
        <v>1089.7185309285712</v>
      </c>
      <c r="J15" s="22">
        <f t="shared" si="3"/>
        <v>605.28146907142877</v>
      </c>
    </row>
    <row r="16" spans="1:11" x14ac:dyDescent="0.25">
      <c r="A16" s="186" t="s">
        <v>25</v>
      </c>
      <c r="B16" s="187"/>
      <c r="C16" s="188">
        <f>C15/C36</f>
        <v>551756.21819168166</v>
      </c>
      <c r="D16" s="188">
        <f>D15/C36</f>
        <v>858227.84810126584</v>
      </c>
      <c r="E16" s="218">
        <f>E15/C36</f>
        <v>306471.62990958412</v>
      </c>
      <c r="F16" s="190"/>
      <c r="G16" s="190"/>
      <c r="H16" s="190"/>
      <c r="I16" s="190"/>
      <c r="J16" s="190"/>
    </row>
    <row r="17" spans="1:10" x14ac:dyDescent="0.25">
      <c r="A17" s="275" t="s">
        <v>25</v>
      </c>
      <c r="B17" s="275"/>
      <c r="C17" s="275"/>
      <c r="D17" s="275"/>
      <c r="E17" s="275"/>
      <c r="F17" s="275"/>
      <c r="G17" s="275"/>
      <c r="H17" s="276">
        <f>H15/C36</f>
        <v>42.911392405063289</v>
      </c>
      <c r="I17" s="276">
        <f>I15/C36</f>
        <v>27.587810909584082</v>
      </c>
      <c r="J17" s="276">
        <f>J15/C36</f>
        <v>15.323581495479209</v>
      </c>
    </row>
    <row r="19" spans="1:10" x14ac:dyDescent="0.25">
      <c r="A19" s="244" t="s">
        <v>0</v>
      </c>
      <c r="B19" s="245" t="s">
        <v>26</v>
      </c>
      <c r="C19" s="245"/>
      <c r="D19" s="245"/>
      <c r="E19" s="245"/>
      <c r="F19" s="246" t="s">
        <v>27</v>
      </c>
      <c r="G19" s="246" t="s">
        <v>28</v>
      </c>
      <c r="H19" s="246" t="s">
        <v>29</v>
      </c>
      <c r="I19" s="244" t="s">
        <v>30</v>
      </c>
      <c r="J19" s="247" t="s">
        <v>31</v>
      </c>
    </row>
    <row r="20" spans="1:10" x14ac:dyDescent="0.25">
      <c r="A20" s="244"/>
      <c r="B20" s="25" t="s">
        <v>32</v>
      </c>
      <c r="C20" s="25" t="s">
        <v>33</v>
      </c>
      <c r="D20" s="25" t="s">
        <v>34</v>
      </c>
      <c r="E20" s="25" t="s">
        <v>35</v>
      </c>
      <c r="F20" s="246"/>
      <c r="G20" s="246"/>
      <c r="H20" s="246"/>
      <c r="I20" s="244"/>
      <c r="J20" s="247"/>
    </row>
    <row r="21" spans="1:10" x14ac:dyDescent="0.25">
      <c r="A21" s="26" t="s">
        <v>36</v>
      </c>
      <c r="B21" s="27">
        <f>D104*B35</f>
        <v>29560</v>
      </c>
      <c r="C21" s="27"/>
      <c r="D21" s="27"/>
      <c r="E21" s="27">
        <f>B35*D38*C36</f>
        <v>0</v>
      </c>
      <c r="F21" s="28">
        <f>(B35*B47*5)+D47*B35</f>
        <v>1040000</v>
      </c>
      <c r="G21" s="28">
        <f>H88+I88</f>
        <v>577300.19999999995</v>
      </c>
      <c r="H21" s="28">
        <f>C62*B35</f>
        <v>0</v>
      </c>
      <c r="I21" s="28">
        <f>(E125+F125+H125+K125+G47+J47)/20000*B35</f>
        <v>100720.18</v>
      </c>
      <c r="J21" s="29">
        <f>SUM(B21:I21)</f>
        <v>1747580.38</v>
      </c>
    </row>
    <row r="22" spans="1:10" x14ac:dyDescent="0.25">
      <c r="A22" s="26" t="s">
        <v>37</v>
      </c>
      <c r="B22" s="27">
        <f>D105*B35</f>
        <v>29560</v>
      </c>
      <c r="C22" s="30"/>
      <c r="D22" s="27"/>
      <c r="E22" s="27"/>
      <c r="F22" s="28">
        <f>B35*B48*5+D48*B35</f>
        <v>1040000</v>
      </c>
      <c r="G22" s="28">
        <f t="shared" ref="G22:G32" si="5">H89+I89</f>
        <v>577300.19999999995</v>
      </c>
      <c r="H22" s="28">
        <f>C63*B35</f>
        <v>0</v>
      </c>
      <c r="I22" s="28">
        <f>(E126+F126+H126+K126+G48+J48)/20000*B35</f>
        <v>149832.66</v>
      </c>
      <c r="J22" s="29">
        <f t="shared" ref="J22:J32" si="6">SUM(B22:I22)</f>
        <v>1796692.8599999999</v>
      </c>
    </row>
    <row r="23" spans="1:10" x14ac:dyDescent="0.25">
      <c r="A23" s="26" t="s">
        <v>38</v>
      </c>
      <c r="B23" s="27">
        <f>D106*B35</f>
        <v>73900</v>
      </c>
      <c r="C23" s="30"/>
      <c r="D23" s="27"/>
      <c r="E23" s="31">
        <f>B35*(B38/4)*C36</f>
        <v>98750</v>
      </c>
      <c r="F23" s="28">
        <f>B35*B49*5+D49*B35</f>
        <v>672857.14285714284</v>
      </c>
      <c r="G23" s="28">
        <f t="shared" si="5"/>
        <v>577300.19999999995</v>
      </c>
      <c r="H23" s="28">
        <f>C64*B35</f>
        <v>60000</v>
      </c>
      <c r="I23" s="28">
        <f>(E127+F127+H127+K127+G49+J49)/20000*B35</f>
        <v>79987.97</v>
      </c>
      <c r="J23" s="29">
        <f t="shared" si="6"/>
        <v>1562795.3128571429</v>
      </c>
    </row>
    <row r="24" spans="1:10" x14ac:dyDescent="0.25">
      <c r="A24" s="26" t="s">
        <v>39</v>
      </c>
      <c r="B24" s="27">
        <f>D107*B35</f>
        <v>147800</v>
      </c>
      <c r="C24" s="30"/>
      <c r="D24" s="27"/>
      <c r="E24" s="27">
        <f>E23</f>
        <v>98750</v>
      </c>
      <c r="F24" s="28">
        <f>B35*B50*5+D50*B35</f>
        <v>297142.85714285716</v>
      </c>
      <c r="G24" s="28">
        <f t="shared" si="5"/>
        <v>577300.19999999995</v>
      </c>
      <c r="H24" s="28">
        <f>C65*B35</f>
        <v>240000</v>
      </c>
      <c r="I24" s="28">
        <f>(E128+F128+H128+K128+G50+J50)/20000*B35</f>
        <v>49628.95</v>
      </c>
      <c r="J24" s="29">
        <f t="shared" si="6"/>
        <v>1410622.0071428569</v>
      </c>
    </row>
    <row r="25" spans="1:10" x14ac:dyDescent="0.25">
      <c r="A25" s="26" t="s">
        <v>40</v>
      </c>
      <c r="B25" s="27">
        <f>D108*B35</f>
        <v>221699.99999999997</v>
      </c>
      <c r="C25" s="27"/>
      <c r="D25" s="27"/>
      <c r="E25" s="27">
        <f>E21</f>
        <v>0</v>
      </c>
      <c r="F25" s="28">
        <f>B35*B51*5+D51*B35</f>
        <v>170771.42857142858</v>
      </c>
      <c r="G25" s="28">
        <f t="shared" si="5"/>
        <v>577300.19999999995</v>
      </c>
      <c r="H25" s="28">
        <f>C66*B35</f>
        <v>360000</v>
      </c>
      <c r="I25" s="28">
        <f>(E129+F129+H129+K129+G51+J51)/20000*B35</f>
        <v>117142.58000000002</v>
      </c>
      <c r="J25" s="29">
        <f t="shared" si="6"/>
        <v>1446914.2085714284</v>
      </c>
    </row>
    <row r="26" spans="1:10" x14ac:dyDescent="0.25">
      <c r="A26" s="26" t="s">
        <v>41</v>
      </c>
      <c r="B26" s="27">
        <f>D109*B35</f>
        <v>369499.99999999994</v>
      </c>
      <c r="C26" s="27"/>
      <c r="D26" s="27"/>
      <c r="E26" s="27"/>
      <c r="F26" s="28">
        <f>B35*B52*5+D52*B35</f>
        <v>53214.285714285717</v>
      </c>
      <c r="G26" s="28">
        <f t="shared" si="5"/>
        <v>865948.2</v>
      </c>
      <c r="H26" s="28">
        <f>C67*B35</f>
        <v>540000</v>
      </c>
      <c r="I26" s="28">
        <f>(E130+F130+H130+K130+G52+J52)/20000*B35</f>
        <v>78207</v>
      </c>
      <c r="J26" s="29">
        <f t="shared" si="6"/>
        <v>1906869.4857142856</v>
      </c>
    </row>
    <row r="27" spans="1:10" x14ac:dyDescent="0.25">
      <c r="A27" s="26" t="s">
        <v>42</v>
      </c>
      <c r="B27" s="27">
        <f>D110*B35</f>
        <v>443399.99999999994</v>
      </c>
      <c r="C27" s="27"/>
      <c r="D27" s="27"/>
      <c r="E27" s="32">
        <f>E23</f>
        <v>98750</v>
      </c>
      <c r="F27" s="28">
        <f>B35*B53*5+D53*B35</f>
        <v>52914.285714285717</v>
      </c>
      <c r="G27" s="28">
        <f t="shared" si="5"/>
        <v>865948.2</v>
      </c>
      <c r="H27" s="28">
        <f>C68*B35</f>
        <v>660000</v>
      </c>
      <c r="I27" s="28">
        <f>(E131+F131+H131+K131+G53+J53)/20000*B35</f>
        <v>278007.27999999997</v>
      </c>
      <c r="J27" s="29">
        <f t="shared" si="6"/>
        <v>2399019.7657142854</v>
      </c>
    </row>
    <row r="28" spans="1:10" x14ac:dyDescent="0.25">
      <c r="A28" s="26" t="s">
        <v>43</v>
      </c>
      <c r="B28" s="27">
        <f>D111*B35</f>
        <v>443399.99999999994</v>
      </c>
      <c r="C28" s="27"/>
      <c r="D28" s="27"/>
      <c r="E28" s="27"/>
      <c r="F28" s="28">
        <f>B35*B54*5+D54*B35</f>
        <v>50000</v>
      </c>
      <c r="G28" s="28">
        <f t="shared" si="5"/>
        <v>865948.2</v>
      </c>
      <c r="H28" s="28">
        <f>C69*B35</f>
        <v>660000</v>
      </c>
      <c r="I28" s="28">
        <f>(E132+F132+H132+K132+G54+J54)/20000*B35</f>
        <v>115213</v>
      </c>
      <c r="J28" s="29">
        <f t="shared" si="6"/>
        <v>2134561.2000000002</v>
      </c>
    </row>
    <row r="29" spans="1:10" x14ac:dyDescent="0.25">
      <c r="A29" s="26" t="s">
        <v>44</v>
      </c>
      <c r="B29" s="27">
        <f>D112*B35</f>
        <v>147800</v>
      </c>
      <c r="C29" s="27"/>
      <c r="D29" s="27"/>
      <c r="E29" s="32">
        <f>E23</f>
        <v>98750</v>
      </c>
      <c r="F29" s="28">
        <f>B35*B55*5+D55*B35</f>
        <v>65114.285714285717</v>
      </c>
      <c r="G29" s="28">
        <f t="shared" si="5"/>
        <v>721624.2</v>
      </c>
      <c r="H29" s="28">
        <f>C70*B35</f>
        <v>360000</v>
      </c>
      <c r="I29" s="28">
        <f>(E133+F133+H133+K133+G55+J55)/20000*B35</f>
        <v>33603</v>
      </c>
      <c r="J29" s="29">
        <f t="shared" si="6"/>
        <v>1426891.4857142856</v>
      </c>
    </row>
    <row r="30" spans="1:10" x14ac:dyDescent="0.25">
      <c r="A30" s="26" t="s">
        <v>45</v>
      </c>
      <c r="B30" s="27">
        <f>D113*B35</f>
        <v>73900</v>
      </c>
      <c r="C30" s="27"/>
      <c r="D30" s="27"/>
      <c r="E30" s="27"/>
      <c r="F30" s="28">
        <f>B35*B56*5+D56*B35</f>
        <v>182857.14285714284</v>
      </c>
      <c r="G30" s="28">
        <f t="shared" si="5"/>
        <v>577300.19999999995</v>
      </c>
      <c r="H30" s="28">
        <f>C71*B35</f>
        <v>300000</v>
      </c>
      <c r="I30" s="28">
        <f>(E134+F134+H134+K134+G56+J56)/20000*B35</f>
        <v>46521.33</v>
      </c>
      <c r="J30" s="29">
        <f t="shared" si="6"/>
        <v>1180578.672857143</v>
      </c>
    </row>
    <row r="31" spans="1:10" x14ac:dyDescent="0.25">
      <c r="A31" s="26" t="s">
        <v>46</v>
      </c>
      <c r="B31" s="27">
        <f>D114*B35</f>
        <v>44340</v>
      </c>
      <c r="C31" s="27">
        <f>B35*B40*E40</f>
        <v>576000</v>
      </c>
      <c r="D31" s="27">
        <f>B35*C39*C36*0.6</f>
        <v>829500</v>
      </c>
      <c r="E31" s="27"/>
      <c r="F31" s="28">
        <f>B35*B57*5+D57*B35</f>
        <v>545000</v>
      </c>
      <c r="G31" s="28">
        <f t="shared" si="5"/>
        <v>577300.19999999995</v>
      </c>
      <c r="H31" s="28">
        <f>C72*B35</f>
        <v>240000</v>
      </c>
      <c r="I31" s="28">
        <f>(E135+F135+H135+K135+G57+J57)/20000*B35</f>
        <v>16404.84</v>
      </c>
      <c r="J31" s="29">
        <f t="shared" si="6"/>
        <v>2828545.04</v>
      </c>
    </row>
    <row r="32" spans="1:10" x14ac:dyDescent="0.25">
      <c r="A32" s="26" t="s">
        <v>47</v>
      </c>
      <c r="B32" s="27">
        <f>D115*B35</f>
        <v>0</v>
      </c>
      <c r="C32" s="27">
        <f>B35*B40*G40</f>
        <v>576000</v>
      </c>
      <c r="D32" s="27"/>
      <c r="E32" s="27"/>
      <c r="F32" s="28">
        <f>B35*B58*5+D58*B35</f>
        <v>800000</v>
      </c>
      <c r="G32" s="28">
        <f t="shared" si="5"/>
        <v>577300.19999999995</v>
      </c>
      <c r="H32" s="28">
        <f>C73*B35</f>
        <v>0</v>
      </c>
      <c r="I32" s="28">
        <f>(E136+F136+H136+K136+G58+J58)/20000*B35</f>
        <v>0</v>
      </c>
      <c r="J32" s="29">
        <f t="shared" si="6"/>
        <v>1953300.2</v>
      </c>
    </row>
    <row r="33" spans="1:12" s="34" customFormat="1" x14ac:dyDescent="0.25">
      <c r="A33" s="26" t="s">
        <v>24</v>
      </c>
      <c r="B33" s="33">
        <f t="shared" ref="B33:I33" si="7">SUM(B21:B32)</f>
        <v>2024860</v>
      </c>
      <c r="C33" s="33">
        <f t="shared" si="7"/>
        <v>1152000</v>
      </c>
      <c r="D33" s="33">
        <f t="shared" si="7"/>
        <v>829500</v>
      </c>
      <c r="E33" s="33">
        <f t="shared" si="7"/>
        <v>395000</v>
      </c>
      <c r="F33" s="33">
        <f t="shared" si="7"/>
        <v>4969871.4285714291</v>
      </c>
      <c r="G33" s="33">
        <f t="shared" si="7"/>
        <v>7937870.4000000013</v>
      </c>
      <c r="H33" s="29">
        <f t="shared" si="7"/>
        <v>3420000</v>
      </c>
      <c r="I33" s="29">
        <f t="shared" si="7"/>
        <v>1065268.7900000003</v>
      </c>
      <c r="J33" s="29">
        <f>SUM(B33:I33)</f>
        <v>21794370.61857143</v>
      </c>
    </row>
    <row r="34" spans="1:12" x14ac:dyDescent="0.25">
      <c r="A34" s="35" t="s">
        <v>48</v>
      </c>
      <c r="B34" s="191">
        <f>B33/C36</f>
        <v>51262.278481012661</v>
      </c>
      <c r="C34" s="191">
        <f>C33/C36</f>
        <v>29164.556962025315</v>
      </c>
      <c r="D34" s="191">
        <f>D33/C36</f>
        <v>21000</v>
      </c>
      <c r="E34" s="191">
        <f>E33/C36</f>
        <v>10000</v>
      </c>
      <c r="F34" s="191">
        <f>F33/C36</f>
        <v>125819.52983725136</v>
      </c>
      <c r="G34" s="191">
        <f>G33/C36</f>
        <v>200958.74430379749</v>
      </c>
      <c r="H34" s="191">
        <f>H33/C36</f>
        <v>86582.278481012661</v>
      </c>
      <c r="I34" s="191">
        <f>I33/C36</f>
        <v>26968.830126582285</v>
      </c>
      <c r="J34" s="191">
        <f>J33/C36</f>
        <v>551756.21819168178</v>
      </c>
    </row>
    <row r="35" spans="1:12" ht="22.5" customHeight="1" x14ac:dyDescent="0.25">
      <c r="A35" s="37" t="s">
        <v>49</v>
      </c>
      <c r="B35" s="38">
        <v>20000</v>
      </c>
      <c r="C35" s="32"/>
      <c r="D35" s="32"/>
      <c r="E35" s="32"/>
      <c r="F35" s="32"/>
      <c r="G35" s="32"/>
      <c r="H35" s="32"/>
      <c r="I35" s="32"/>
      <c r="J35" s="32"/>
    </row>
    <row r="36" spans="1:12" ht="22.5" customHeight="1" x14ac:dyDescent="0.25">
      <c r="A36" s="236" t="s">
        <v>50</v>
      </c>
      <c r="B36" s="236"/>
      <c r="C36" s="39">
        <v>39.5</v>
      </c>
      <c r="D36" s="32"/>
      <c r="E36" s="32"/>
      <c r="F36" s="32"/>
      <c r="G36" s="32"/>
      <c r="H36" s="32"/>
      <c r="I36" s="32"/>
      <c r="J36" s="32"/>
    </row>
    <row r="37" spans="1:12" hidden="1" x14ac:dyDescent="0.25">
      <c r="A37" s="40" t="s">
        <v>51</v>
      </c>
      <c r="B37" s="41">
        <f>B33/B35</f>
        <v>101.24299999999999</v>
      </c>
    </row>
    <row r="38" spans="1:12" hidden="1" x14ac:dyDescent="0.25">
      <c r="A38" s="40" t="s">
        <v>52</v>
      </c>
      <c r="B38" s="42">
        <v>0.5</v>
      </c>
      <c r="C38" t="s">
        <v>25</v>
      </c>
      <c r="D38" s="42">
        <v>0</v>
      </c>
      <c r="E38" t="s">
        <v>25</v>
      </c>
      <c r="F38" t="s">
        <v>53</v>
      </c>
      <c r="G38" s="42">
        <f>B38+D38+J38</f>
        <v>0.76</v>
      </c>
      <c r="H38" t="s">
        <v>25</v>
      </c>
      <c r="I38" t="s">
        <v>54</v>
      </c>
      <c r="J38">
        <v>0.26</v>
      </c>
    </row>
    <row r="39" spans="1:12" hidden="1" x14ac:dyDescent="0.25">
      <c r="A39" s="43" t="s">
        <v>55</v>
      </c>
      <c r="B39" s="42"/>
      <c r="C39">
        <v>1.75</v>
      </c>
      <c r="D39" t="s">
        <v>56</v>
      </c>
    </row>
    <row r="40" spans="1:12" hidden="1" x14ac:dyDescent="0.25">
      <c r="A40" s="43" t="s">
        <v>57</v>
      </c>
      <c r="B40" s="42">
        <v>3.6</v>
      </c>
      <c r="C40" t="s">
        <v>58</v>
      </c>
      <c r="D40" s="216" t="s">
        <v>175</v>
      </c>
      <c r="E40" s="216">
        <v>8</v>
      </c>
      <c r="F40" s="217" t="s">
        <v>176</v>
      </c>
      <c r="G40" s="217">
        <v>8</v>
      </c>
    </row>
    <row r="41" spans="1:12" hidden="1" x14ac:dyDescent="0.25">
      <c r="A41" s="40" t="s">
        <v>59</v>
      </c>
      <c r="B41" s="44">
        <f>J86</f>
        <v>432.97200000000004</v>
      </c>
      <c r="C41" t="s">
        <v>60</v>
      </c>
      <c r="E41" s="236" t="s">
        <v>49</v>
      </c>
      <c r="F41" s="236"/>
      <c r="G41" s="45">
        <f>B35</f>
        <v>20000</v>
      </c>
    </row>
    <row r="42" spans="1:12" hidden="1" x14ac:dyDescent="0.25">
      <c r="A42" s="40" t="s">
        <v>61</v>
      </c>
      <c r="B42" s="42">
        <f>'[2]yazlık sera girdi maliyeti'!$D$9</f>
        <v>46.5</v>
      </c>
      <c r="C42" t="s">
        <v>60</v>
      </c>
    </row>
    <row r="43" spans="1:12" hidden="1" x14ac:dyDescent="0.25">
      <c r="A43" s="40" t="s">
        <v>62</v>
      </c>
      <c r="B43" s="42">
        <f>'[2]yazlık sera girdi maliyeti'!$D$10</f>
        <v>99</v>
      </c>
      <c r="C43" t="s">
        <v>60</v>
      </c>
      <c r="E43" s="237" t="s">
        <v>63</v>
      </c>
      <c r="F43" s="238"/>
      <c r="G43" s="46">
        <f>C15/B15</f>
        <v>19.117868963659145</v>
      </c>
    </row>
    <row r="44" spans="1:12" hidden="1" x14ac:dyDescent="0.25">
      <c r="A44" s="40" t="s">
        <v>64</v>
      </c>
      <c r="B44" s="47">
        <f>I33/B35</f>
        <v>53.263439500000011</v>
      </c>
      <c r="C44" t="s">
        <v>60</v>
      </c>
    </row>
    <row r="45" spans="1:12" hidden="1" x14ac:dyDescent="0.25">
      <c r="A45" s="40" t="s">
        <v>177</v>
      </c>
      <c r="B45" s="42">
        <v>6</v>
      </c>
      <c r="C45" t="s">
        <v>66</v>
      </c>
    </row>
    <row r="46" spans="1:12" ht="45" hidden="1" x14ac:dyDescent="0.25">
      <c r="A46" s="48" t="s">
        <v>67</v>
      </c>
      <c r="B46" s="49" t="s">
        <v>68</v>
      </c>
      <c r="C46" s="50" t="s">
        <v>178</v>
      </c>
      <c r="D46" s="50" t="s">
        <v>69</v>
      </c>
      <c r="E46" s="51" t="s">
        <v>70</v>
      </c>
      <c r="F46" s="52" t="s">
        <v>71</v>
      </c>
      <c r="G46" s="52" t="s">
        <v>72</v>
      </c>
      <c r="H46" s="52" t="s">
        <v>73</v>
      </c>
      <c r="I46" s="53" t="s">
        <v>74</v>
      </c>
      <c r="J46" s="54" t="s">
        <v>75</v>
      </c>
      <c r="K46" s="54"/>
      <c r="L46" s="54"/>
    </row>
    <row r="47" spans="1:12" hidden="1" x14ac:dyDescent="0.25">
      <c r="A47" s="48" t="s">
        <v>76</v>
      </c>
      <c r="B47" s="55">
        <f t="shared" ref="B47:B58" si="8">I47/7/20000</f>
        <v>0.8</v>
      </c>
      <c r="C47" s="56">
        <v>8</v>
      </c>
      <c r="D47" s="56">
        <f>C47*B45</f>
        <v>48</v>
      </c>
      <c r="E47" s="51" t="s">
        <v>77</v>
      </c>
      <c r="F47" s="57">
        <v>0</v>
      </c>
      <c r="G47" s="58">
        <v>44.88</v>
      </c>
      <c r="H47" s="58">
        <v>81931.94</v>
      </c>
      <c r="I47" s="59">
        <v>112000</v>
      </c>
      <c r="J47" s="60">
        <v>9820</v>
      </c>
      <c r="K47" s="61"/>
      <c r="L47" s="61"/>
    </row>
    <row r="48" spans="1:12" hidden="1" x14ac:dyDescent="0.25">
      <c r="A48" s="48" t="s">
        <v>78</v>
      </c>
      <c r="B48" s="55">
        <f t="shared" si="8"/>
        <v>0.8</v>
      </c>
      <c r="C48" s="56">
        <v>8</v>
      </c>
      <c r="D48" s="56">
        <f>C48*B45</f>
        <v>48</v>
      </c>
      <c r="E48" s="51" t="s">
        <v>79</v>
      </c>
      <c r="F48" s="57">
        <v>0</v>
      </c>
      <c r="G48" s="58">
        <v>320.16000000000003</v>
      </c>
      <c r="H48" s="58">
        <v>267100.03999999998</v>
      </c>
      <c r="I48" s="59">
        <v>112000</v>
      </c>
      <c r="J48" s="60">
        <v>9820</v>
      </c>
      <c r="K48" s="61"/>
      <c r="L48" s="61"/>
    </row>
    <row r="49" spans="1:12" hidden="1" x14ac:dyDescent="0.25">
      <c r="A49" s="48" t="s">
        <v>80</v>
      </c>
      <c r="B49" s="55">
        <f t="shared" si="8"/>
        <v>0.72857142857142854</v>
      </c>
      <c r="C49" s="56">
        <v>5</v>
      </c>
      <c r="D49" s="56">
        <f>C49*B45</f>
        <v>30</v>
      </c>
      <c r="E49" s="51" t="s">
        <v>81</v>
      </c>
      <c r="F49" s="57">
        <v>0</v>
      </c>
      <c r="G49" s="58">
        <v>3036</v>
      </c>
      <c r="H49" s="58">
        <v>8082.05</v>
      </c>
      <c r="I49" s="59">
        <v>102000</v>
      </c>
      <c r="J49" s="60">
        <v>9820</v>
      </c>
      <c r="K49" s="61"/>
      <c r="L49" s="61"/>
    </row>
    <row r="50" spans="1:12" hidden="1" x14ac:dyDescent="0.25">
      <c r="A50" s="48" t="s">
        <v>82</v>
      </c>
      <c r="B50" s="55">
        <f t="shared" si="8"/>
        <v>0.57142857142857151</v>
      </c>
      <c r="C50" s="56">
        <v>2</v>
      </c>
      <c r="D50" s="56">
        <f>C50*B45</f>
        <v>12</v>
      </c>
      <c r="E50" s="51" t="s">
        <v>83</v>
      </c>
      <c r="F50" s="57">
        <v>0</v>
      </c>
      <c r="G50" s="58">
        <v>4537.5</v>
      </c>
      <c r="H50" s="58">
        <v>159475.51999999999</v>
      </c>
      <c r="I50" s="59">
        <v>80000</v>
      </c>
      <c r="J50" s="60">
        <v>9820</v>
      </c>
      <c r="K50" s="61"/>
      <c r="L50" s="61"/>
    </row>
    <row r="51" spans="1:12" hidden="1" x14ac:dyDescent="0.25">
      <c r="A51" s="48" t="s">
        <v>84</v>
      </c>
      <c r="B51" s="55">
        <f t="shared" si="8"/>
        <v>0.50771428571428567</v>
      </c>
      <c r="C51" s="56">
        <v>1</v>
      </c>
      <c r="D51" s="56">
        <f>C51*B45</f>
        <v>6</v>
      </c>
      <c r="E51" s="51" t="s">
        <v>85</v>
      </c>
      <c r="F51" s="57">
        <v>36237.29</v>
      </c>
      <c r="G51" s="58">
        <v>7486.5</v>
      </c>
      <c r="H51" s="58">
        <v>45561.25</v>
      </c>
      <c r="I51" s="59">
        <v>71080</v>
      </c>
      <c r="J51" s="60">
        <v>10320</v>
      </c>
      <c r="K51" s="61"/>
      <c r="L51" s="61"/>
    </row>
    <row r="52" spans="1:12" hidden="1" x14ac:dyDescent="0.25">
      <c r="A52" s="48" t="s">
        <v>70</v>
      </c>
      <c r="B52" s="55">
        <f t="shared" si="8"/>
        <v>0.53214285714285714</v>
      </c>
      <c r="C52" s="56"/>
      <c r="D52" s="56">
        <f>C52*B45</f>
        <v>0</v>
      </c>
      <c r="E52" s="51" t="s">
        <v>86</v>
      </c>
      <c r="F52" s="57">
        <v>0</v>
      </c>
      <c r="G52" s="58">
        <v>11272.5</v>
      </c>
      <c r="H52" s="58">
        <v>9703.6299999999992</v>
      </c>
      <c r="I52" s="59">
        <v>74500</v>
      </c>
      <c r="J52" s="60">
        <v>10320</v>
      </c>
      <c r="K52" s="61"/>
      <c r="L52" s="61"/>
    </row>
    <row r="53" spans="1:12" hidden="1" x14ac:dyDescent="0.25">
      <c r="A53" s="48" t="s">
        <v>77</v>
      </c>
      <c r="B53" s="55">
        <f t="shared" si="8"/>
        <v>0.52914285714285714</v>
      </c>
      <c r="C53" s="56"/>
      <c r="D53" s="56">
        <f>C53*B45</f>
        <v>0</v>
      </c>
      <c r="E53" s="51" t="s">
        <v>76</v>
      </c>
      <c r="F53" s="57">
        <v>16666.669999999998</v>
      </c>
      <c r="G53" s="58">
        <v>15757.5</v>
      </c>
      <c r="H53" s="58">
        <v>0</v>
      </c>
      <c r="I53" s="59">
        <v>74080</v>
      </c>
      <c r="J53" s="60">
        <v>13750</v>
      </c>
      <c r="K53" s="61"/>
      <c r="L53" s="61"/>
    </row>
    <row r="54" spans="1:12" hidden="1" x14ac:dyDescent="0.25">
      <c r="A54" s="48" t="s">
        <v>79</v>
      </c>
      <c r="B54" s="55">
        <f t="shared" si="8"/>
        <v>0.5</v>
      </c>
      <c r="C54" s="56"/>
      <c r="D54" s="56">
        <f>C54*B45</f>
        <v>0</v>
      </c>
      <c r="E54" s="51" t="s">
        <v>78</v>
      </c>
      <c r="F54" s="62">
        <v>5000</v>
      </c>
      <c r="G54" s="58">
        <v>14619</v>
      </c>
      <c r="H54" s="63">
        <v>0</v>
      </c>
      <c r="I54" s="59">
        <v>70000</v>
      </c>
      <c r="J54" s="60">
        <v>13750</v>
      </c>
      <c r="K54" s="64"/>
      <c r="L54" s="61"/>
    </row>
    <row r="55" spans="1:12" hidden="1" x14ac:dyDescent="0.25">
      <c r="A55" s="48" t="s">
        <v>81</v>
      </c>
      <c r="B55" s="55">
        <f t="shared" si="8"/>
        <v>0.65114285714285713</v>
      </c>
      <c r="C55" s="56"/>
      <c r="D55" s="56">
        <f>C55*B45</f>
        <v>0</v>
      </c>
      <c r="E55" s="51" t="s">
        <v>80</v>
      </c>
      <c r="F55" s="58">
        <v>7500</v>
      </c>
      <c r="G55" s="58">
        <v>4612.5</v>
      </c>
      <c r="H55" s="58">
        <v>0</v>
      </c>
      <c r="I55" s="59">
        <v>91160</v>
      </c>
      <c r="J55" s="60">
        <v>1000</v>
      </c>
      <c r="K55" s="61"/>
      <c r="L55" s="61"/>
    </row>
    <row r="56" spans="1:12" hidden="1" x14ac:dyDescent="0.25">
      <c r="A56" s="48" t="s">
        <v>83</v>
      </c>
      <c r="B56" s="55">
        <f t="shared" si="8"/>
        <v>0.62857142857142856</v>
      </c>
      <c r="C56" s="56">
        <v>1</v>
      </c>
      <c r="D56" s="56">
        <f>C56*B45</f>
        <v>6</v>
      </c>
      <c r="E56" s="51" t="s">
        <v>82</v>
      </c>
      <c r="F56" s="58"/>
      <c r="G56" s="58">
        <v>6298.5</v>
      </c>
      <c r="H56" s="58"/>
      <c r="I56" s="59">
        <v>88000</v>
      </c>
      <c r="J56" s="60">
        <v>8350</v>
      </c>
      <c r="K56" s="61"/>
      <c r="L56" s="61"/>
    </row>
    <row r="57" spans="1:12" hidden="1" x14ac:dyDescent="0.25">
      <c r="A57" s="48" t="s">
        <v>85</v>
      </c>
      <c r="B57" s="55">
        <f t="shared" si="8"/>
        <v>0.65</v>
      </c>
      <c r="C57" s="56">
        <v>4</v>
      </c>
      <c r="D57" s="56">
        <f>C57*B45</f>
        <v>24</v>
      </c>
      <c r="E57" s="51" t="s">
        <v>84</v>
      </c>
      <c r="F57" s="58"/>
      <c r="G57" s="58"/>
      <c r="H57" s="58"/>
      <c r="I57" s="59">
        <v>91000</v>
      </c>
      <c r="J57" s="60"/>
      <c r="K57" s="61"/>
      <c r="L57" s="61"/>
    </row>
    <row r="58" spans="1:12" hidden="1" x14ac:dyDescent="0.25">
      <c r="A58" s="48" t="s">
        <v>86</v>
      </c>
      <c r="B58" s="55">
        <f t="shared" si="8"/>
        <v>0.8</v>
      </c>
      <c r="C58" s="56">
        <v>6</v>
      </c>
      <c r="D58" s="56">
        <f>C58*B45</f>
        <v>36</v>
      </c>
      <c r="E58" s="51" t="s">
        <v>70</v>
      </c>
      <c r="F58" s="58"/>
      <c r="G58" s="58"/>
      <c r="H58" s="58"/>
      <c r="I58" s="59">
        <v>112000</v>
      </c>
      <c r="J58" s="60"/>
      <c r="K58" s="61"/>
      <c r="L58" s="61"/>
    </row>
    <row r="59" spans="1:12" hidden="1" x14ac:dyDescent="0.25">
      <c r="A59" s="48" t="s">
        <v>87</v>
      </c>
      <c r="B59" s="65">
        <f>SUM(B47:B58)</f>
        <v>7.6987142857142858</v>
      </c>
      <c r="C59" s="66">
        <f>SUM(C47:C58)</f>
        <v>35</v>
      </c>
      <c r="D59" s="66">
        <f>SUM(D47:D58)</f>
        <v>210</v>
      </c>
      <c r="E59" s="51" t="s">
        <v>77</v>
      </c>
      <c r="F59" s="67">
        <f>SUM(F47:F58)</f>
        <v>65403.96</v>
      </c>
      <c r="G59" s="67">
        <f>SUM(G47:G58)</f>
        <v>67985.040000000008</v>
      </c>
      <c r="H59" s="67">
        <f>SUM(H47:H58)</f>
        <v>571854.42999999993</v>
      </c>
      <c r="I59" s="68">
        <f>SUM(I47:I58)</f>
        <v>1077820</v>
      </c>
      <c r="J59" s="69">
        <f>SUM(J47:J58)</f>
        <v>96770</v>
      </c>
      <c r="K59" s="69"/>
      <c r="L59" s="69"/>
    </row>
    <row r="60" spans="1:12" hidden="1" x14ac:dyDescent="0.25">
      <c r="E60" s="51" t="s">
        <v>79</v>
      </c>
      <c r="F60" s="12"/>
      <c r="G60" s="12"/>
      <c r="H60" s="12"/>
    </row>
    <row r="61" spans="1:12" hidden="1" x14ac:dyDescent="0.25">
      <c r="A61" s="70" t="s">
        <v>88</v>
      </c>
      <c r="B61" s="71" t="s">
        <v>89</v>
      </c>
      <c r="C61" s="71" t="s">
        <v>90</v>
      </c>
      <c r="E61" s="51" t="s">
        <v>85</v>
      </c>
      <c r="F61" s="12"/>
      <c r="G61" s="12"/>
      <c r="H61" s="12"/>
    </row>
    <row r="62" spans="1:12" hidden="1" x14ac:dyDescent="0.25">
      <c r="A62" s="72" t="s">
        <v>76</v>
      </c>
      <c r="B62" s="73">
        <f>H65</f>
        <v>0</v>
      </c>
      <c r="C62" s="73">
        <f>(B62/5)*15</f>
        <v>0</v>
      </c>
      <c r="E62" s="51" t="s">
        <v>86</v>
      </c>
      <c r="F62" s="12"/>
      <c r="G62" s="12"/>
      <c r="H62" s="12"/>
    </row>
    <row r="63" spans="1:12" hidden="1" x14ac:dyDescent="0.25">
      <c r="A63" s="72" t="s">
        <v>78</v>
      </c>
      <c r="B63" s="73">
        <f t="shared" ref="B63:B73" si="9">H66</f>
        <v>0</v>
      </c>
      <c r="C63" s="73">
        <f t="shared" ref="C63:C73" si="10">(B63/5)*15</f>
        <v>0</v>
      </c>
      <c r="E63" s="239" t="s">
        <v>91</v>
      </c>
      <c r="F63" s="239"/>
      <c r="G63" s="239"/>
      <c r="H63" s="239"/>
    </row>
    <row r="64" spans="1:12" hidden="1" x14ac:dyDescent="0.25">
      <c r="A64" s="72" t="s">
        <v>80</v>
      </c>
      <c r="B64" s="73">
        <f t="shared" si="9"/>
        <v>1</v>
      </c>
      <c r="C64" s="73">
        <f t="shared" si="10"/>
        <v>3</v>
      </c>
      <c r="E64" s="74" t="s">
        <v>92</v>
      </c>
      <c r="F64" s="74" t="s">
        <v>93</v>
      </c>
      <c r="G64" s="74" t="s">
        <v>59</v>
      </c>
      <c r="H64" s="74" t="s">
        <v>89</v>
      </c>
    </row>
    <row r="65" spans="1:10" hidden="1" x14ac:dyDescent="0.25">
      <c r="A65" s="72" t="s">
        <v>82</v>
      </c>
      <c r="B65" s="73">
        <f t="shared" si="9"/>
        <v>4</v>
      </c>
      <c r="C65" s="73">
        <f>(B65/5)*15</f>
        <v>12</v>
      </c>
      <c r="E65" s="75" t="s">
        <v>76</v>
      </c>
      <c r="F65" s="76">
        <v>409653.12</v>
      </c>
      <c r="G65" s="76">
        <v>565738.01</v>
      </c>
      <c r="H65" s="77">
        <f>'[1]gelir tablosu'!P4</f>
        <v>0</v>
      </c>
    </row>
    <row r="66" spans="1:10" hidden="1" x14ac:dyDescent="0.25">
      <c r="A66" s="72" t="s">
        <v>84</v>
      </c>
      <c r="B66" s="73">
        <f t="shared" si="9"/>
        <v>6</v>
      </c>
      <c r="C66" s="73">
        <f t="shared" si="10"/>
        <v>18</v>
      </c>
      <c r="E66" s="75" t="s">
        <v>78</v>
      </c>
      <c r="F66" s="76">
        <v>1018952.66</v>
      </c>
      <c r="G66" s="76">
        <v>537241.37</v>
      </c>
      <c r="H66" s="77">
        <f>'[1]gelir tablosu'!P5</f>
        <v>0</v>
      </c>
    </row>
    <row r="67" spans="1:10" hidden="1" x14ac:dyDescent="0.25">
      <c r="A67" s="72" t="s">
        <v>70</v>
      </c>
      <c r="B67" s="73">
        <f t="shared" si="9"/>
        <v>9</v>
      </c>
      <c r="C67" s="73">
        <f t="shared" si="10"/>
        <v>27</v>
      </c>
      <c r="E67" s="75" t="s">
        <v>80</v>
      </c>
      <c r="F67" s="76">
        <v>778246.96</v>
      </c>
      <c r="G67" s="76">
        <v>683371.87</v>
      </c>
      <c r="H67" s="77">
        <v>1</v>
      </c>
    </row>
    <row r="68" spans="1:10" hidden="1" x14ac:dyDescent="0.25">
      <c r="A68" s="72" t="s">
        <v>77</v>
      </c>
      <c r="B68" s="73">
        <f t="shared" si="9"/>
        <v>11</v>
      </c>
      <c r="C68" s="73">
        <f t="shared" si="10"/>
        <v>33</v>
      </c>
      <c r="E68" s="75" t="s">
        <v>82</v>
      </c>
      <c r="F68" s="76">
        <v>583161.81000000006</v>
      </c>
      <c r="G68" s="76">
        <v>782201.05</v>
      </c>
      <c r="H68" s="77">
        <v>4</v>
      </c>
    </row>
    <row r="69" spans="1:10" hidden="1" x14ac:dyDescent="0.25">
      <c r="A69" s="72" t="s">
        <v>79</v>
      </c>
      <c r="B69" s="73">
        <f t="shared" si="9"/>
        <v>11</v>
      </c>
      <c r="C69" s="73">
        <f t="shared" si="10"/>
        <v>33</v>
      </c>
      <c r="E69" s="75" t="s">
        <v>84</v>
      </c>
      <c r="F69" s="76">
        <v>494190.36</v>
      </c>
      <c r="G69" s="76">
        <v>777478.44</v>
      </c>
      <c r="H69" s="77">
        <v>6</v>
      </c>
    </row>
    <row r="70" spans="1:10" hidden="1" x14ac:dyDescent="0.25">
      <c r="A70" s="72" t="s">
        <v>81</v>
      </c>
      <c r="B70" s="73">
        <f t="shared" si="9"/>
        <v>6</v>
      </c>
      <c r="C70" s="73">
        <f t="shared" si="10"/>
        <v>18</v>
      </c>
      <c r="E70" s="75" t="s">
        <v>70</v>
      </c>
      <c r="F70" s="76">
        <v>292990.06</v>
      </c>
      <c r="G70" s="76">
        <v>730669.84</v>
      </c>
      <c r="H70" s="77">
        <v>9</v>
      </c>
    </row>
    <row r="71" spans="1:10" hidden="1" x14ac:dyDescent="0.25">
      <c r="A71" s="72" t="s">
        <v>83</v>
      </c>
      <c r="B71" s="73">
        <f t="shared" si="9"/>
        <v>5</v>
      </c>
      <c r="C71" s="73">
        <f t="shared" si="10"/>
        <v>15</v>
      </c>
      <c r="E71" s="75" t="s">
        <v>77</v>
      </c>
      <c r="F71" s="76">
        <v>692304.15</v>
      </c>
      <c r="G71" s="76">
        <v>774618.11</v>
      </c>
      <c r="H71" s="77">
        <v>11</v>
      </c>
    </row>
    <row r="72" spans="1:10" hidden="1" x14ac:dyDescent="0.25">
      <c r="A72" s="72" t="s">
        <v>85</v>
      </c>
      <c r="B72" s="73">
        <f t="shared" si="9"/>
        <v>4</v>
      </c>
      <c r="C72" s="73">
        <f t="shared" si="10"/>
        <v>12</v>
      </c>
      <c r="E72" s="75" t="s">
        <v>79</v>
      </c>
      <c r="F72" s="76">
        <v>1216385.3600000001</v>
      </c>
      <c r="G72" s="76">
        <v>769946</v>
      </c>
      <c r="H72" s="77">
        <v>11</v>
      </c>
    </row>
    <row r="73" spans="1:10" hidden="1" x14ac:dyDescent="0.25">
      <c r="A73" s="72" t="s">
        <v>86</v>
      </c>
      <c r="B73" s="73">
        <f t="shared" si="9"/>
        <v>0</v>
      </c>
      <c r="C73" s="73">
        <f t="shared" si="10"/>
        <v>0</v>
      </c>
      <c r="E73" s="75" t="s">
        <v>81</v>
      </c>
      <c r="F73" s="76">
        <v>269760.64000000001</v>
      </c>
      <c r="G73" s="76">
        <v>649655</v>
      </c>
      <c r="H73" s="77">
        <v>6</v>
      </c>
    </row>
    <row r="74" spans="1:10" hidden="1" x14ac:dyDescent="0.25">
      <c r="A74" s="72" t="s">
        <v>94</v>
      </c>
      <c r="B74" s="78">
        <f>SUM(B62:B73)</f>
        <v>57</v>
      </c>
      <c r="C74" s="78">
        <f>SUM(C62:C73)</f>
        <v>171</v>
      </c>
      <c r="E74" s="75" t="s">
        <v>83</v>
      </c>
      <c r="F74" s="76">
        <v>193490.33</v>
      </c>
      <c r="G74" s="76">
        <v>662479</v>
      </c>
      <c r="H74" s="77">
        <v>5</v>
      </c>
    </row>
    <row r="75" spans="1:10" hidden="1" x14ac:dyDescent="0.25">
      <c r="A75" s="79"/>
      <c r="B75" s="80"/>
      <c r="C75" s="80"/>
      <c r="E75" s="75" t="s">
        <v>85</v>
      </c>
      <c r="F75" s="76">
        <v>232195</v>
      </c>
      <c r="G75" s="76">
        <v>422510</v>
      </c>
      <c r="H75" s="77">
        <v>4</v>
      </c>
    </row>
    <row r="76" spans="1:10" hidden="1" x14ac:dyDescent="0.25">
      <c r="A76" s="79"/>
      <c r="B76" s="80"/>
      <c r="C76" s="80"/>
      <c r="E76" s="75" t="s">
        <v>86</v>
      </c>
      <c r="F76" s="77"/>
      <c r="G76" s="77"/>
      <c r="H76" s="77">
        <v>0</v>
      </c>
    </row>
    <row r="77" spans="1:10" hidden="1" x14ac:dyDescent="0.25">
      <c r="A77" s="79"/>
      <c r="B77" s="80"/>
      <c r="C77" s="80"/>
      <c r="E77" s="81" t="s">
        <v>94</v>
      </c>
      <c r="F77" s="82">
        <f>SUM(F65:F76)</f>
        <v>6181330.4500000002</v>
      </c>
      <c r="G77" s="82">
        <f>SUM(G65:G76)</f>
        <v>7355908.6899999995</v>
      </c>
      <c r="H77" s="83">
        <f>SUM(H65:H76)</f>
        <v>57</v>
      </c>
    </row>
    <row r="78" spans="1:10" hidden="1" x14ac:dyDescent="0.25">
      <c r="E78" s="81" t="s">
        <v>48</v>
      </c>
      <c r="F78" s="84">
        <f>F77/C36/20000</f>
        <v>7.8244689240506329</v>
      </c>
      <c r="G78" s="84">
        <f>G77/C36/20000</f>
        <v>9.3112768227848086</v>
      </c>
      <c r="H78" s="83"/>
    </row>
    <row r="79" spans="1:10" ht="15.75" hidden="1" thickBot="1" x14ac:dyDescent="0.3">
      <c r="A79" s="85" t="s">
        <v>59</v>
      </c>
      <c r="B79" s="86"/>
      <c r="C79" s="86"/>
      <c r="D79" s="86"/>
      <c r="E79" s="86"/>
      <c r="F79" s="86"/>
      <c r="G79" s="86"/>
      <c r="H79" s="86"/>
      <c r="I79" s="86"/>
      <c r="J79" s="86"/>
    </row>
    <row r="80" spans="1:10" hidden="1" x14ac:dyDescent="0.25">
      <c r="A80" s="240" t="s">
        <v>95</v>
      </c>
      <c r="B80" s="241"/>
      <c r="C80" s="241"/>
      <c r="D80" s="241"/>
      <c r="E80" s="242"/>
      <c r="F80" s="240" t="s">
        <v>96</v>
      </c>
      <c r="G80" s="241"/>
      <c r="H80" s="241"/>
      <c r="I80" s="241"/>
      <c r="J80" s="241"/>
    </row>
    <row r="81" spans="1:10" hidden="1" x14ac:dyDescent="0.25">
      <c r="A81" s="87" t="s">
        <v>97</v>
      </c>
      <c r="B81" s="88">
        <v>30621</v>
      </c>
      <c r="C81" s="89" t="s">
        <v>98</v>
      </c>
      <c r="D81" s="90" t="s">
        <v>99</v>
      </c>
      <c r="E81" s="91">
        <v>6</v>
      </c>
      <c r="F81" s="87" t="s">
        <v>97</v>
      </c>
      <c r="G81" s="88">
        <v>30621</v>
      </c>
      <c r="H81" s="89" t="s">
        <v>98</v>
      </c>
      <c r="I81" s="90" t="s">
        <v>99</v>
      </c>
      <c r="J81" s="92">
        <v>6</v>
      </c>
    </row>
    <row r="82" spans="1:10" hidden="1" x14ac:dyDescent="0.25">
      <c r="A82" s="87" t="s">
        <v>100</v>
      </c>
      <c r="B82" s="88">
        <f>C82*D82</f>
        <v>2860</v>
      </c>
      <c r="C82" s="88">
        <v>110</v>
      </c>
      <c r="D82" s="88">
        <v>26</v>
      </c>
      <c r="E82" s="93" t="s">
        <v>101</v>
      </c>
      <c r="F82" s="87" t="s">
        <v>100</v>
      </c>
      <c r="G82" s="88">
        <f>H82*I82</f>
        <v>2860</v>
      </c>
      <c r="H82" s="88">
        <v>110</v>
      </c>
      <c r="I82" s="88">
        <v>26</v>
      </c>
      <c r="J82" s="94" t="s">
        <v>101</v>
      </c>
    </row>
    <row r="83" spans="1:10" hidden="1" x14ac:dyDescent="0.25">
      <c r="A83" s="87" t="s">
        <v>102</v>
      </c>
      <c r="B83" s="88">
        <f>C83*D83</f>
        <v>2600</v>
      </c>
      <c r="C83" s="88">
        <v>100</v>
      </c>
      <c r="D83" s="88">
        <v>26</v>
      </c>
      <c r="E83" s="93" t="s">
        <v>101</v>
      </c>
      <c r="F83" s="87" t="s">
        <v>102</v>
      </c>
      <c r="G83" s="88">
        <f>H83*I83</f>
        <v>2600</v>
      </c>
      <c r="H83" s="88">
        <v>100</v>
      </c>
      <c r="I83" s="88">
        <v>26</v>
      </c>
      <c r="J83" s="94" t="s">
        <v>101</v>
      </c>
    </row>
    <row r="84" spans="1:10" ht="15.75" hidden="1" thickBot="1" x14ac:dyDescent="0.3">
      <c r="A84" s="95" t="s">
        <v>94</v>
      </c>
      <c r="B84" s="96">
        <f>SUM(B81:B83)</f>
        <v>36081</v>
      </c>
      <c r="C84" s="97"/>
      <c r="D84" s="97"/>
      <c r="E84" s="98"/>
      <c r="F84" s="95" t="s">
        <v>94</v>
      </c>
      <c r="G84" s="99">
        <f>SUM(G81:G83)</f>
        <v>36081</v>
      </c>
      <c r="H84" s="100"/>
      <c r="I84" s="100"/>
      <c r="J84" s="101"/>
    </row>
    <row r="85" spans="1:10" ht="15.75" hidden="1" thickBot="1" x14ac:dyDescent="0.3">
      <c r="A85" s="226" t="s">
        <v>103</v>
      </c>
      <c r="B85" s="227"/>
      <c r="C85" s="227"/>
      <c r="D85" s="227"/>
      <c r="E85" s="102">
        <f>B84/1000*E81</f>
        <v>216.48600000000002</v>
      </c>
      <c r="F85" s="103">
        <f>((B84*E81)+(J81*G84))/12</f>
        <v>36081</v>
      </c>
      <c r="G85" s="228" t="s">
        <v>103</v>
      </c>
      <c r="H85" s="228"/>
      <c r="I85" s="228"/>
      <c r="J85" s="104">
        <f>G84/1000*J81</f>
        <v>216.48600000000002</v>
      </c>
    </row>
    <row r="86" spans="1:10" hidden="1" x14ac:dyDescent="0.25">
      <c r="A86" s="229" t="s">
        <v>104</v>
      </c>
      <c r="B86" s="230"/>
      <c r="C86" s="230"/>
      <c r="D86" s="230"/>
      <c r="E86" s="230"/>
      <c r="F86" s="230"/>
      <c r="G86" s="230"/>
      <c r="H86" s="230"/>
      <c r="I86" s="230"/>
      <c r="J86" s="105">
        <f>E85+J85</f>
        <v>432.97200000000004</v>
      </c>
    </row>
    <row r="87" spans="1:10" hidden="1" x14ac:dyDescent="0.25">
      <c r="F87" s="106" t="s">
        <v>92</v>
      </c>
      <c r="G87" s="107" t="s">
        <v>105</v>
      </c>
      <c r="H87" s="106" t="s">
        <v>106</v>
      </c>
      <c r="I87" s="108" t="s">
        <v>107</v>
      </c>
    </row>
    <row r="88" spans="1:10" hidden="1" x14ac:dyDescent="0.25">
      <c r="A88" s="34" t="s">
        <v>108</v>
      </c>
      <c r="C88" s="109">
        <v>45587</v>
      </c>
      <c r="F88" s="110" t="s">
        <v>76</v>
      </c>
      <c r="G88" s="111">
        <f>(B35/1000)*0.8</f>
        <v>16</v>
      </c>
      <c r="H88" s="112">
        <f>B84*G88</f>
        <v>577296</v>
      </c>
      <c r="I88">
        <f>'[1]kışlık desen'!N92</f>
        <v>4.2</v>
      </c>
    </row>
    <row r="89" spans="1:10" hidden="1" x14ac:dyDescent="0.25">
      <c r="A89" s="113"/>
      <c r="B89" s="113" t="s">
        <v>109</v>
      </c>
      <c r="C89" s="113" t="s">
        <v>66</v>
      </c>
      <c r="D89" s="113" t="s">
        <v>66</v>
      </c>
      <c r="E89" s="114" t="s">
        <v>110</v>
      </c>
      <c r="F89" s="110" t="s">
        <v>78</v>
      </c>
      <c r="G89" s="111">
        <f>(B35/1000)*0.8</f>
        <v>16</v>
      </c>
      <c r="H89" s="112">
        <f>B84*G89</f>
        <v>577296</v>
      </c>
      <c r="I89">
        <f>'[1]kışlık desen'!N93</f>
        <v>4.2</v>
      </c>
      <c r="J89" t="s">
        <v>111</v>
      </c>
    </row>
    <row r="90" spans="1:10" hidden="1" x14ac:dyDescent="0.25">
      <c r="A90" s="113" t="s">
        <v>112</v>
      </c>
      <c r="B90" s="115">
        <v>125</v>
      </c>
      <c r="C90" s="115">
        <v>12</v>
      </c>
      <c r="D90" s="113">
        <f>C90</f>
        <v>12</v>
      </c>
      <c r="E90">
        <v>10</v>
      </c>
      <c r="F90" s="110" t="s">
        <v>80</v>
      </c>
      <c r="G90" s="111">
        <f>(B35/1000)*0.8</f>
        <v>16</v>
      </c>
      <c r="H90" s="112">
        <f>B84*G90</f>
        <v>577296</v>
      </c>
      <c r="I90">
        <f>'[1]kışlık desen'!N94</f>
        <v>4.2</v>
      </c>
    </row>
    <row r="91" spans="1:10" hidden="1" x14ac:dyDescent="0.25">
      <c r="A91" s="113" t="s">
        <v>113</v>
      </c>
      <c r="B91" s="115">
        <v>3</v>
      </c>
      <c r="C91" s="115">
        <v>230</v>
      </c>
      <c r="D91" s="113">
        <f t="shared" ref="D91:D96" si="11">C91</f>
        <v>230</v>
      </c>
      <c r="E91">
        <v>138</v>
      </c>
      <c r="F91" s="110" t="s">
        <v>82</v>
      </c>
      <c r="G91" s="111">
        <f>B35/1000*0.8</f>
        <v>16</v>
      </c>
      <c r="H91" s="112">
        <f>B84*G91</f>
        <v>577296</v>
      </c>
      <c r="I91">
        <f>'[1]kışlık desen'!N95</f>
        <v>4.2</v>
      </c>
    </row>
    <row r="92" spans="1:10" hidden="1" x14ac:dyDescent="0.25">
      <c r="A92" s="113" t="s">
        <v>114</v>
      </c>
      <c r="B92" s="115">
        <v>25</v>
      </c>
      <c r="C92" s="115">
        <v>40</v>
      </c>
      <c r="D92" s="113">
        <f t="shared" si="11"/>
        <v>40</v>
      </c>
      <c r="F92" s="110" t="s">
        <v>84</v>
      </c>
      <c r="G92" s="111">
        <f>B35/1000*0.8</f>
        <v>16</v>
      </c>
      <c r="H92" s="112">
        <f>B84*G92</f>
        <v>577296</v>
      </c>
      <c r="I92">
        <f>'[1]kışlık desen'!N96</f>
        <v>4.2</v>
      </c>
    </row>
    <row r="93" spans="1:10" hidden="1" x14ac:dyDescent="0.25">
      <c r="A93" s="113" t="s">
        <v>115</v>
      </c>
      <c r="B93" s="115">
        <v>25</v>
      </c>
      <c r="C93" s="115">
        <v>50</v>
      </c>
      <c r="D93" s="113">
        <f t="shared" si="11"/>
        <v>50</v>
      </c>
      <c r="F93" s="110" t="s">
        <v>70</v>
      </c>
      <c r="G93" s="111">
        <f>(B35/1000)*1.2</f>
        <v>24</v>
      </c>
      <c r="H93" s="112">
        <f>B84*G93</f>
        <v>865944</v>
      </c>
      <c r="I93">
        <f>'[1]kışlık desen'!N97</f>
        <v>4.2</v>
      </c>
    </row>
    <row r="94" spans="1:10" hidden="1" x14ac:dyDescent="0.25">
      <c r="A94" s="113" t="s">
        <v>116</v>
      </c>
      <c r="B94" s="115">
        <v>50</v>
      </c>
      <c r="C94" s="115">
        <v>15</v>
      </c>
      <c r="D94" s="113">
        <f t="shared" si="11"/>
        <v>15</v>
      </c>
      <c r="F94" s="110" t="s">
        <v>77</v>
      </c>
      <c r="G94" s="111">
        <f>(B35/1000)*1.2</f>
        <v>24</v>
      </c>
      <c r="H94" s="112">
        <f>G84*G94</f>
        <v>865944</v>
      </c>
      <c r="I94">
        <f>'[1]kışlık desen'!N98</f>
        <v>4.2</v>
      </c>
    </row>
    <row r="95" spans="1:10" hidden="1" x14ac:dyDescent="0.25">
      <c r="A95" s="113" t="s">
        <v>117</v>
      </c>
      <c r="B95" s="115">
        <v>25</v>
      </c>
      <c r="C95" s="115">
        <v>80</v>
      </c>
      <c r="D95" s="113">
        <f t="shared" si="11"/>
        <v>80</v>
      </c>
      <c r="F95" s="110" t="s">
        <v>79</v>
      </c>
      <c r="G95" s="111">
        <f>(B35/1000)*1.2</f>
        <v>24</v>
      </c>
      <c r="H95" s="112">
        <f>G84*G95</f>
        <v>865944</v>
      </c>
      <c r="I95">
        <f>'[1]kışlık desen'!N99</f>
        <v>4.2</v>
      </c>
    </row>
    <row r="96" spans="1:10" hidden="1" x14ac:dyDescent="0.25">
      <c r="A96" s="113" t="s">
        <v>118</v>
      </c>
      <c r="B96" s="115">
        <v>20</v>
      </c>
      <c r="C96" s="115">
        <v>10</v>
      </c>
      <c r="D96" s="113">
        <f t="shared" si="11"/>
        <v>10</v>
      </c>
      <c r="E96">
        <v>8</v>
      </c>
      <c r="F96" s="110" t="s">
        <v>81</v>
      </c>
      <c r="G96" s="111">
        <f>B35/1000</f>
        <v>20</v>
      </c>
      <c r="H96" s="112">
        <f>G84*G96</f>
        <v>721620</v>
      </c>
      <c r="I96">
        <f>'[1]kışlık desen'!N100</f>
        <v>4.2</v>
      </c>
    </row>
    <row r="97" spans="1:9" hidden="1" x14ac:dyDescent="0.25">
      <c r="A97" s="113"/>
      <c r="B97" s="116" t="s">
        <v>119</v>
      </c>
      <c r="C97" s="116" t="s">
        <v>120</v>
      </c>
      <c r="D97" s="113" t="s">
        <v>121</v>
      </c>
      <c r="F97" s="110" t="s">
        <v>83</v>
      </c>
      <c r="G97" s="111">
        <f>B35/1000*0.8</f>
        <v>16</v>
      </c>
      <c r="H97" s="112">
        <f>G84*G97</f>
        <v>577296</v>
      </c>
      <c r="I97">
        <f>'[1]kışlık desen'!N101</f>
        <v>4.2</v>
      </c>
    </row>
    <row r="98" spans="1:9" hidden="1" x14ac:dyDescent="0.25">
      <c r="A98" s="113" t="s">
        <v>122</v>
      </c>
      <c r="B98" s="113">
        <f>((B116*B90)+(B116*B91))/10000</f>
        <v>1.7536</v>
      </c>
      <c r="C98" s="113"/>
      <c r="D98" s="117">
        <f>C104+C106+C108</f>
        <v>101.24299999999999</v>
      </c>
      <c r="F98" s="110" t="s">
        <v>85</v>
      </c>
      <c r="G98" s="111">
        <f>(B35/1000)*0.8</f>
        <v>16</v>
      </c>
      <c r="H98" s="112">
        <f>G84*G98</f>
        <v>577296</v>
      </c>
      <c r="I98">
        <f>'[1]kışlık desen'!N102</f>
        <v>4.2</v>
      </c>
    </row>
    <row r="99" spans="1:9" hidden="1" x14ac:dyDescent="0.25">
      <c r="A99" s="113" t="s">
        <v>123</v>
      </c>
      <c r="B99" s="118">
        <f>((B92+B93+B94+B95)*B116)/10000</f>
        <v>1.7124999999999999</v>
      </c>
      <c r="C99" s="113"/>
      <c r="D99" s="113"/>
      <c r="F99" s="110" t="s">
        <v>86</v>
      </c>
      <c r="G99" s="111">
        <f>(B35/1000)*0.8</f>
        <v>16</v>
      </c>
      <c r="H99" s="112">
        <f>G84*G99</f>
        <v>577296</v>
      </c>
      <c r="I99">
        <f>'[1]kışlık desen'!N103</f>
        <v>4.2</v>
      </c>
    </row>
    <row r="100" spans="1:9" hidden="1" x14ac:dyDescent="0.25">
      <c r="A100" s="113" t="s">
        <v>118</v>
      </c>
      <c r="B100" s="113">
        <f>B96*B116/10000</f>
        <v>0.27400000000000002</v>
      </c>
      <c r="C100" s="113"/>
      <c r="D100" s="113"/>
      <c r="H100" s="119">
        <f>SUM(H88:H99)</f>
        <v>7937820</v>
      </c>
      <c r="I100" s="119">
        <f>SUM(I88:I99)</f>
        <v>50.400000000000013</v>
      </c>
    </row>
    <row r="101" spans="1:9" hidden="1" x14ac:dyDescent="0.25">
      <c r="A101" s="113"/>
      <c r="B101" s="113"/>
      <c r="C101" s="113"/>
      <c r="D101" s="113"/>
    </row>
    <row r="102" spans="1:9" hidden="1" x14ac:dyDescent="0.25">
      <c r="A102" s="231" t="s">
        <v>124</v>
      </c>
      <c r="B102" s="232"/>
      <c r="C102" s="233"/>
      <c r="D102" s="113"/>
    </row>
    <row r="103" spans="1:9" ht="26.25" hidden="1" x14ac:dyDescent="0.25">
      <c r="A103" s="120" t="s">
        <v>0</v>
      </c>
      <c r="B103" s="121" t="s">
        <v>125</v>
      </c>
      <c r="C103" s="120" t="s">
        <v>126</v>
      </c>
      <c r="D103" s="122" t="s">
        <v>127</v>
      </c>
    </row>
    <row r="104" spans="1:9" hidden="1" x14ac:dyDescent="0.25">
      <c r="A104" s="123" t="s">
        <v>36</v>
      </c>
      <c r="B104" s="113">
        <v>2</v>
      </c>
      <c r="C104" s="117">
        <f>((B90*B116*C90)+(B91*C91*B116))/10000</f>
        <v>30.003</v>
      </c>
      <c r="D104" s="124">
        <f>(C104+C106+C108)*(B104/B116)</f>
        <v>1.478</v>
      </c>
    </row>
    <row r="105" spans="1:9" hidden="1" x14ac:dyDescent="0.25">
      <c r="A105" s="123" t="s">
        <v>128</v>
      </c>
      <c r="B105" s="113">
        <v>2</v>
      </c>
      <c r="C105" s="120" t="s">
        <v>129</v>
      </c>
      <c r="D105" s="124">
        <f>(C104+C106+C108)*B105/B116</f>
        <v>1.478</v>
      </c>
    </row>
    <row r="106" spans="1:9" hidden="1" x14ac:dyDescent="0.25">
      <c r="A106" s="123" t="s">
        <v>130</v>
      </c>
      <c r="B106" s="113">
        <v>5</v>
      </c>
      <c r="C106" s="117">
        <f>((B92*B116*C92)+(B93*B116*C93)+(B94*B116*C94)+(B95*B116*C95))/10000</f>
        <v>68.5</v>
      </c>
      <c r="D106" s="124">
        <f>(C104+C106+C108)*B106/B116</f>
        <v>3.6949999999999998</v>
      </c>
    </row>
    <row r="107" spans="1:9" hidden="1" x14ac:dyDescent="0.25">
      <c r="A107" s="123" t="s">
        <v>39</v>
      </c>
      <c r="B107" s="113">
        <v>10</v>
      </c>
      <c r="C107" s="120" t="s">
        <v>131</v>
      </c>
      <c r="D107" s="124">
        <f>(C104+C106+C108)*B107/B116</f>
        <v>7.39</v>
      </c>
    </row>
    <row r="108" spans="1:9" hidden="1" x14ac:dyDescent="0.25">
      <c r="A108" s="123" t="s">
        <v>40</v>
      </c>
      <c r="B108" s="113">
        <v>15</v>
      </c>
      <c r="C108" s="117">
        <f>B116*B96*C96/10000</f>
        <v>2.74</v>
      </c>
      <c r="D108" s="124">
        <f>(C104+C106+C108)*B108/B116</f>
        <v>11.084999999999999</v>
      </c>
    </row>
    <row r="109" spans="1:9" hidden="1" x14ac:dyDescent="0.25">
      <c r="A109" s="123" t="s">
        <v>41</v>
      </c>
      <c r="B109" s="113">
        <v>25</v>
      </c>
      <c r="C109" s="113"/>
      <c r="D109" s="124">
        <f>(C104+C106+C108)*B109/B116</f>
        <v>18.474999999999998</v>
      </c>
    </row>
    <row r="110" spans="1:9" hidden="1" x14ac:dyDescent="0.25">
      <c r="A110" s="123" t="s">
        <v>42</v>
      </c>
      <c r="B110" s="113">
        <v>30</v>
      </c>
      <c r="C110" s="113"/>
      <c r="D110" s="124">
        <f>(C104+C106+C108)*B110/B116</f>
        <v>22.169999999999998</v>
      </c>
    </row>
    <row r="111" spans="1:9" hidden="1" x14ac:dyDescent="0.25">
      <c r="A111" s="123" t="s">
        <v>43</v>
      </c>
      <c r="B111" s="113">
        <v>30</v>
      </c>
      <c r="C111" s="113"/>
      <c r="D111" s="124">
        <f>(C104+C106+C108)*B111/B116</f>
        <v>22.169999999999998</v>
      </c>
    </row>
    <row r="112" spans="1:9" hidden="1" x14ac:dyDescent="0.25">
      <c r="A112" s="123" t="s">
        <v>44</v>
      </c>
      <c r="B112" s="113">
        <v>10</v>
      </c>
      <c r="C112" s="113"/>
      <c r="D112" s="124">
        <f>(C104+C106+C108)*B112/B116</f>
        <v>7.39</v>
      </c>
    </row>
    <row r="113" spans="1:11" hidden="1" x14ac:dyDescent="0.25">
      <c r="A113" s="123" t="s">
        <v>45</v>
      </c>
      <c r="B113" s="113">
        <v>5</v>
      </c>
      <c r="C113" s="113"/>
      <c r="D113" s="124">
        <f>(C104+C106+C108)*B113/B116</f>
        <v>3.6949999999999998</v>
      </c>
    </row>
    <row r="114" spans="1:11" hidden="1" x14ac:dyDescent="0.25">
      <c r="A114" s="123" t="s">
        <v>46</v>
      </c>
      <c r="B114" s="113">
        <v>3</v>
      </c>
      <c r="C114" s="113"/>
      <c r="D114" s="124">
        <f>(C104+C106+C108)*B114/B116</f>
        <v>2.2170000000000001</v>
      </c>
    </row>
    <row r="115" spans="1:11" hidden="1" x14ac:dyDescent="0.25">
      <c r="A115" s="123" t="s">
        <v>132</v>
      </c>
      <c r="B115" s="113">
        <v>0</v>
      </c>
      <c r="C115" s="113"/>
      <c r="D115" s="124">
        <f>(C104+C106+C108)*B115/B116</f>
        <v>0</v>
      </c>
    </row>
    <row r="116" spans="1:11" hidden="1" x14ac:dyDescent="0.25">
      <c r="A116" s="125" t="s">
        <v>133</v>
      </c>
      <c r="B116" s="126">
        <f>SUM(B104:B115)</f>
        <v>137</v>
      </c>
      <c r="C116" s="125"/>
      <c r="D116" s="127">
        <f>(C104+C106+C108)*B116/B116</f>
        <v>101.24299999999999</v>
      </c>
    </row>
    <row r="117" spans="1:11" hidden="1" x14ac:dyDescent="0.25">
      <c r="A117" s="128" t="s">
        <v>134</v>
      </c>
      <c r="B117" s="129">
        <f>B33/B35</f>
        <v>101.24299999999999</v>
      </c>
      <c r="C117" s="129">
        <f>C33/B35</f>
        <v>57.6</v>
      </c>
      <c r="D117" s="129">
        <f>D33/B35</f>
        <v>41.475000000000001</v>
      </c>
      <c r="E117" s="129">
        <f>E33/B35</f>
        <v>19.75</v>
      </c>
      <c r="F117" s="129">
        <f>F33/B35</f>
        <v>248.49357142857144</v>
      </c>
      <c r="G117" s="129">
        <f>G33/B35</f>
        <v>396.89352000000008</v>
      </c>
      <c r="H117" s="129">
        <f>H33/B35</f>
        <v>171</v>
      </c>
      <c r="I117" s="129">
        <f>I33/B35</f>
        <v>53.263439500000011</v>
      </c>
      <c r="J117" s="130">
        <f>J33/B35</f>
        <v>1089.7185309285715</v>
      </c>
    </row>
    <row r="118" spans="1:11" hidden="1" x14ac:dyDescent="0.25">
      <c r="A118" s="128" t="s">
        <v>135</v>
      </c>
      <c r="B118" s="131">
        <f>B117/C36</f>
        <v>2.5631139240506329</v>
      </c>
      <c r="C118" s="131">
        <f>C117/C36</f>
        <v>1.4582278481012658</v>
      </c>
      <c r="D118" s="131">
        <f>D117/C36</f>
        <v>1.05</v>
      </c>
      <c r="E118" s="131">
        <f>E117/C36</f>
        <v>0.5</v>
      </c>
      <c r="F118" s="131">
        <f>F117/C36</f>
        <v>6.2909764918625681</v>
      </c>
      <c r="G118" s="131">
        <f>G117/C36</f>
        <v>10.047937215189876</v>
      </c>
      <c r="H118" s="131">
        <f>H117/C36</f>
        <v>4.3291139240506329</v>
      </c>
      <c r="I118" s="131">
        <f>I117/C36</f>
        <v>1.3484415063291142</v>
      </c>
      <c r="J118" s="132">
        <f>J117/C36</f>
        <v>27.587810909584089</v>
      </c>
    </row>
    <row r="119" spans="1:11" hidden="1" x14ac:dyDescent="0.25">
      <c r="A119" t="s">
        <v>136</v>
      </c>
    </row>
    <row r="120" spans="1:11" hidden="1" x14ac:dyDescent="0.25"/>
    <row r="121" spans="1:11" hidden="1" x14ac:dyDescent="0.25"/>
    <row r="122" spans="1:11" hidden="1" x14ac:dyDescent="0.25"/>
    <row r="123" spans="1:11" hidden="1" x14ac:dyDescent="0.25">
      <c r="A123" s="234" t="s">
        <v>137</v>
      </c>
      <c r="B123" s="234"/>
      <c r="C123" s="234"/>
    </row>
    <row r="124" spans="1:11" ht="60" hidden="1" x14ac:dyDescent="0.25">
      <c r="A124" s="133" t="s">
        <v>0</v>
      </c>
      <c r="B124" s="134" t="s">
        <v>33</v>
      </c>
      <c r="C124" s="133" t="s">
        <v>34</v>
      </c>
      <c r="D124" s="54" t="s">
        <v>138</v>
      </c>
      <c r="E124" s="54" t="s">
        <v>139</v>
      </c>
      <c r="F124" s="54" t="s">
        <v>140</v>
      </c>
      <c r="G124" s="54" t="s">
        <v>141</v>
      </c>
      <c r="H124" s="54" t="s">
        <v>142</v>
      </c>
      <c r="I124" s="54" t="s">
        <v>143</v>
      </c>
      <c r="J124" s="54" t="s">
        <v>144</v>
      </c>
      <c r="K124" s="54" t="s">
        <v>145</v>
      </c>
    </row>
    <row r="125" spans="1:11" hidden="1" x14ac:dyDescent="0.25">
      <c r="A125" s="135" t="s">
        <v>36</v>
      </c>
      <c r="B125" s="58">
        <v>0</v>
      </c>
      <c r="C125" s="136">
        <v>0</v>
      </c>
      <c r="D125" s="58">
        <v>1750</v>
      </c>
      <c r="E125" s="60">
        <v>900</v>
      </c>
      <c r="F125" s="60">
        <v>0</v>
      </c>
      <c r="G125" s="61">
        <v>24650</v>
      </c>
      <c r="H125" s="60">
        <v>0</v>
      </c>
      <c r="I125" s="58">
        <v>0</v>
      </c>
      <c r="J125" s="137">
        <v>0</v>
      </c>
      <c r="K125" s="138">
        <v>89955.3</v>
      </c>
    </row>
    <row r="126" spans="1:11" hidden="1" x14ac:dyDescent="0.25">
      <c r="A126" s="135" t="s">
        <v>37</v>
      </c>
      <c r="B126" s="58">
        <v>231385.96</v>
      </c>
      <c r="C126" s="136">
        <v>0</v>
      </c>
      <c r="D126" s="58">
        <v>0</v>
      </c>
      <c r="E126" s="60">
        <v>0</v>
      </c>
      <c r="F126" s="60">
        <v>82000</v>
      </c>
      <c r="G126" s="61">
        <v>199960</v>
      </c>
      <c r="H126" s="60">
        <v>40550</v>
      </c>
      <c r="I126" s="58">
        <v>0</v>
      </c>
      <c r="J126" s="58">
        <v>0</v>
      </c>
      <c r="K126" s="60">
        <v>17142.5</v>
      </c>
    </row>
    <row r="127" spans="1:11" hidden="1" x14ac:dyDescent="0.25">
      <c r="A127" s="135" t="s">
        <v>38</v>
      </c>
      <c r="B127" s="58">
        <v>0</v>
      </c>
      <c r="C127" s="136">
        <v>339318.95</v>
      </c>
      <c r="D127" s="58">
        <v>230745.99</v>
      </c>
      <c r="E127" s="60">
        <v>0</v>
      </c>
      <c r="F127" s="60">
        <v>45379.5</v>
      </c>
      <c r="G127" s="61">
        <v>590</v>
      </c>
      <c r="H127" s="60">
        <v>14504.27</v>
      </c>
      <c r="I127" s="58">
        <v>0</v>
      </c>
      <c r="J127" s="58">
        <v>0</v>
      </c>
      <c r="K127" s="60">
        <v>7248.2</v>
      </c>
    </row>
    <row r="128" spans="1:11" hidden="1" x14ac:dyDescent="0.25">
      <c r="A128" s="135" t="s">
        <v>39</v>
      </c>
      <c r="B128" s="58">
        <v>190747.2</v>
      </c>
      <c r="C128" s="136">
        <v>4207.92</v>
      </c>
      <c r="D128" s="58">
        <v>101394.22</v>
      </c>
      <c r="E128" s="60">
        <v>3600</v>
      </c>
      <c r="F128" s="60">
        <v>0</v>
      </c>
      <c r="G128" s="61">
        <v>0</v>
      </c>
      <c r="H128" s="60">
        <v>16988.45</v>
      </c>
      <c r="I128" s="58">
        <v>0</v>
      </c>
      <c r="J128" s="58">
        <v>0</v>
      </c>
      <c r="K128" s="60">
        <v>14683</v>
      </c>
    </row>
    <row r="129" spans="1:12" hidden="1" x14ac:dyDescent="0.25">
      <c r="A129" s="135" t="s">
        <v>40</v>
      </c>
      <c r="B129" s="58">
        <v>0</v>
      </c>
      <c r="C129" s="136">
        <v>6930.69</v>
      </c>
      <c r="D129" s="58">
        <v>153275.94</v>
      </c>
      <c r="E129" s="60">
        <v>0</v>
      </c>
      <c r="F129" s="60">
        <v>11950</v>
      </c>
      <c r="G129" s="61">
        <v>13991.81</v>
      </c>
      <c r="H129" s="60">
        <v>46898.29</v>
      </c>
      <c r="I129" s="58">
        <v>0</v>
      </c>
      <c r="J129" s="58">
        <v>0</v>
      </c>
      <c r="K129" s="60">
        <v>40487.79</v>
      </c>
    </row>
    <row r="130" spans="1:12" hidden="1" x14ac:dyDescent="0.25">
      <c r="A130" s="135" t="s">
        <v>41</v>
      </c>
      <c r="B130" s="58">
        <v>0</v>
      </c>
      <c r="C130" s="136">
        <v>0</v>
      </c>
      <c r="D130" s="58">
        <v>14759.26</v>
      </c>
      <c r="E130" s="60">
        <v>0</v>
      </c>
      <c r="F130" s="60">
        <v>25555</v>
      </c>
      <c r="G130" s="61">
        <v>17850</v>
      </c>
      <c r="H130" s="60">
        <v>13286</v>
      </c>
      <c r="I130" s="58">
        <v>34567</v>
      </c>
      <c r="J130" s="58">
        <v>0</v>
      </c>
      <c r="K130" s="60">
        <v>17773.5</v>
      </c>
    </row>
    <row r="131" spans="1:12" hidden="1" x14ac:dyDescent="0.25">
      <c r="A131" s="135" t="s">
        <v>42</v>
      </c>
      <c r="B131" s="58">
        <v>0</v>
      </c>
      <c r="C131" s="136">
        <v>10247.530000000001</v>
      </c>
      <c r="D131" s="58">
        <v>219868.55</v>
      </c>
      <c r="E131" s="60">
        <v>2414.65</v>
      </c>
      <c r="F131" s="60">
        <v>9456</v>
      </c>
      <c r="G131" s="61">
        <v>0</v>
      </c>
      <c r="H131" s="60">
        <v>201388.24</v>
      </c>
      <c r="I131" s="58">
        <v>25440</v>
      </c>
      <c r="J131" s="58">
        <v>0</v>
      </c>
      <c r="K131" s="60">
        <v>35240.89</v>
      </c>
    </row>
    <row r="132" spans="1:12" hidden="1" x14ac:dyDescent="0.25">
      <c r="A132" s="135" t="s">
        <v>43</v>
      </c>
      <c r="B132" s="58">
        <v>0</v>
      </c>
      <c r="C132" s="136">
        <v>3564.36</v>
      </c>
      <c r="D132" s="58">
        <v>197717.27</v>
      </c>
      <c r="E132" s="138">
        <v>0</v>
      </c>
      <c r="F132" s="60">
        <v>15546</v>
      </c>
      <c r="G132" s="61">
        <v>18990</v>
      </c>
      <c r="H132" s="60">
        <v>64185</v>
      </c>
      <c r="I132" s="137">
        <v>635704</v>
      </c>
      <c r="J132" s="58">
        <v>0</v>
      </c>
      <c r="K132" s="60">
        <v>7113</v>
      </c>
    </row>
    <row r="133" spans="1:12" hidden="1" x14ac:dyDescent="0.25">
      <c r="A133" s="135" t="s">
        <v>44</v>
      </c>
      <c r="B133" s="58">
        <v>0</v>
      </c>
      <c r="C133" s="136">
        <v>0</v>
      </c>
      <c r="D133" s="58">
        <v>64413.64</v>
      </c>
      <c r="E133" s="60">
        <v>0</v>
      </c>
      <c r="F133" s="60">
        <v>13162.5</v>
      </c>
      <c r="G133" s="61">
        <v>12500</v>
      </c>
      <c r="H133" s="60">
        <v>5000</v>
      </c>
      <c r="I133" s="58">
        <v>2680</v>
      </c>
      <c r="J133" s="58">
        <v>0</v>
      </c>
      <c r="K133" s="60">
        <v>9828</v>
      </c>
    </row>
    <row r="134" spans="1:12" hidden="1" x14ac:dyDescent="0.25">
      <c r="A134" s="135" t="s">
        <v>45</v>
      </c>
      <c r="B134" s="58"/>
      <c r="C134" s="136"/>
      <c r="D134" s="58"/>
      <c r="E134" s="60"/>
      <c r="F134" s="60">
        <v>15812.49</v>
      </c>
      <c r="G134" s="61">
        <v>9583.33</v>
      </c>
      <c r="H134" s="60">
        <v>10585.2</v>
      </c>
      <c r="I134" s="58">
        <v>6566.67</v>
      </c>
      <c r="J134" s="58">
        <v>0</v>
      </c>
      <c r="K134" s="60">
        <v>5475.14</v>
      </c>
    </row>
    <row r="135" spans="1:12" hidden="1" x14ac:dyDescent="0.25">
      <c r="A135" s="135" t="s">
        <v>46</v>
      </c>
      <c r="B135" s="58"/>
      <c r="C135" s="136"/>
      <c r="D135" s="58"/>
      <c r="E135" s="60"/>
      <c r="F135" s="60">
        <v>6552.13</v>
      </c>
      <c r="G135" s="61"/>
      <c r="H135" s="60">
        <v>6177.71</v>
      </c>
      <c r="I135" s="58">
        <v>158400</v>
      </c>
      <c r="J135" s="58">
        <v>0</v>
      </c>
      <c r="K135" s="60">
        <v>3675</v>
      </c>
    </row>
    <row r="136" spans="1:12" hidden="1" x14ac:dyDescent="0.25">
      <c r="A136" s="135" t="s">
        <v>132</v>
      </c>
      <c r="B136" s="58"/>
      <c r="C136" s="136"/>
      <c r="D136" s="58"/>
      <c r="E136" s="60"/>
      <c r="F136" s="60"/>
      <c r="G136" s="61"/>
      <c r="H136" s="60"/>
      <c r="I136" s="58"/>
      <c r="J136" s="58"/>
      <c r="K136" s="60"/>
    </row>
    <row r="137" spans="1:12" hidden="1" x14ac:dyDescent="0.25">
      <c r="A137" s="135" t="s">
        <v>24</v>
      </c>
      <c r="B137" s="69">
        <f t="shared" ref="B137:F137" si="12">SUM(B125:B136)</f>
        <v>422133.16000000003</v>
      </c>
      <c r="C137" s="139">
        <f>SUM(C125:C136)</f>
        <v>364269.45</v>
      </c>
      <c r="D137" s="69">
        <f>SUM(D125:D136)</f>
        <v>983924.87</v>
      </c>
      <c r="E137" s="69">
        <f t="shared" si="12"/>
        <v>6914.65</v>
      </c>
      <c r="F137" s="69">
        <f t="shared" si="12"/>
        <v>225413.62</v>
      </c>
      <c r="G137" s="69">
        <f>SUM(G125:G136)</f>
        <v>298115.14</v>
      </c>
      <c r="H137" s="69">
        <f>SUM(H125:H136)</f>
        <v>419563.16000000003</v>
      </c>
      <c r="I137" s="69">
        <f>SUM(I125:I136)</f>
        <v>863357.67</v>
      </c>
      <c r="J137" s="69">
        <f>SUM(J125:J136)</f>
        <v>0</v>
      </c>
      <c r="K137" s="69">
        <f>SUM(K125:K136)</f>
        <v>248622.32</v>
      </c>
    </row>
    <row r="138" spans="1:12" hidden="1" x14ac:dyDescent="0.25">
      <c r="A138" s="35" t="s">
        <v>48</v>
      </c>
      <c r="B138" s="36">
        <f>(B137/82000)*3.6/19.1</f>
        <v>0.97029713701953768</v>
      </c>
      <c r="C138" s="36">
        <f>(C137/13000)*0.6/19.1</f>
        <v>0.88023225936367289</v>
      </c>
      <c r="D138" s="140">
        <f>(D137/20000)/28.2</f>
        <v>1.7445476418439718</v>
      </c>
      <c r="E138" s="36">
        <f>E137/20000/28.2</f>
        <v>1.2260017730496455E-2</v>
      </c>
      <c r="F138" s="36">
        <f t="shared" ref="F138:K138" si="13">F137/20000/28.2</f>
        <v>0.39966953900709218</v>
      </c>
      <c r="G138" s="36">
        <f t="shared" si="13"/>
        <v>0.52857294326241144</v>
      </c>
      <c r="H138" s="36">
        <f t="shared" si="13"/>
        <v>0.74390631205673763</v>
      </c>
      <c r="I138" s="36">
        <f t="shared" si="13"/>
        <v>1.5307760106382979</v>
      </c>
      <c r="J138" s="36">
        <f t="shared" si="13"/>
        <v>0</v>
      </c>
      <c r="K138" s="36">
        <f t="shared" si="13"/>
        <v>0.4408197163120568</v>
      </c>
      <c r="L138" s="141">
        <f>SUM(B138:K138)</f>
        <v>7.2510815772342756</v>
      </c>
    </row>
    <row r="139" spans="1:12" hidden="1" x14ac:dyDescent="0.25"/>
    <row r="140" spans="1:12" hidden="1" x14ac:dyDescent="0.25"/>
    <row r="141" spans="1:12" hidden="1" x14ac:dyDescent="0.25"/>
    <row r="142" spans="1:12" hidden="1" x14ac:dyDescent="0.25"/>
    <row r="143" spans="1:12" ht="30" hidden="1" customHeight="1" x14ac:dyDescent="0.25">
      <c r="A143" s="235" t="s">
        <v>0</v>
      </c>
      <c r="B143" s="235" t="s">
        <v>146</v>
      </c>
      <c r="C143" s="235"/>
      <c r="D143" s="235"/>
      <c r="E143" s="235"/>
      <c r="F143" s="220" t="s">
        <v>147</v>
      </c>
      <c r="G143" s="220" t="s">
        <v>148</v>
      </c>
      <c r="H143" s="220" t="s">
        <v>149</v>
      </c>
      <c r="I143" s="220" t="s">
        <v>150</v>
      </c>
      <c r="J143" s="220" t="s">
        <v>151</v>
      </c>
    </row>
    <row r="144" spans="1:12" hidden="1" x14ac:dyDescent="0.25">
      <c r="A144" s="235"/>
      <c r="B144" s="142" t="s">
        <v>32</v>
      </c>
      <c r="C144" s="142" t="s">
        <v>33</v>
      </c>
      <c r="D144" s="142" t="s">
        <v>34</v>
      </c>
      <c r="E144" s="142" t="s">
        <v>35</v>
      </c>
      <c r="F144" s="220"/>
      <c r="G144" s="220"/>
      <c r="H144" s="220"/>
      <c r="I144" s="220"/>
      <c r="J144" s="220"/>
    </row>
    <row r="145" spans="1:10" hidden="1" x14ac:dyDescent="0.25">
      <c r="A145" s="143" t="s">
        <v>36</v>
      </c>
      <c r="B145" s="144">
        <f t="shared" ref="B145:I156" si="14">B21/34.3</f>
        <v>861.80758017492724</v>
      </c>
      <c r="C145" s="144">
        <f t="shared" si="14"/>
        <v>0</v>
      </c>
      <c r="D145" s="144">
        <f t="shared" si="14"/>
        <v>0</v>
      </c>
      <c r="E145" s="144">
        <f t="shared" si="14"/>
        <v>0</v>
      </c>
      <c r="F145" s="144">
        <f t="shared" si="14"/>
        <v>30320.699708454813</v>
      </c>
      <c r="G145" s="144">
        <f t="shared" si="14"/>
        <v>16830.909620991253</v>
      </c>
      <c r="H145" s="144">
        <f t="shared" si="14"/>
        <v>0</v>
      </c>
      <c r="I145" s="144">
        <f t="shared" si="14"/>
        <v>2936.4483965014579</v>
      </c>
      <c r="J145" s="144">
        <f t="shared" ref="J145:J156" si="15">SUM(B145:I145)</f>
        <v>50949.865306122454</v>
      </c>
    </row>
    <row r="146" spans="1:10" hidden="1" x14ac:dyDescent="0.25">
      <c r="A146" s="143" t="s">
        <v>37</v>
      </c>
      <c r="B146" s="144">
        <f t="shared" si="14"/>
        <v>861.80758017492724</v>
      </c>
      <c r="C146" s="144">
        <f t="shared" si="14"/>
        <v>0</v>
      </c>
      <c r="D146" s="144">
        <f t="shared" si="14"/>
        <v>0</v>
      </c>
      <c r="E146" s="144">
        <f t="shared" si="14"/>
        <v>0</v>
      </c>
      <c r="F146" s="144">
        <f t="shared" si="14"/>
        <v>30320.699708454813</v>
      </c>
      <c r="G146" s="144">
        <f t="shared" si="14"/>
        <v>16830.909620991253</v>
      </c>
      <c r="H146" s="144">
        <f t="shared" si="14"/>
        <v>0</v>
      </c>
      <c r="I146" s="144">
        <f t="shared" si="14"/>
        <v>4368.2991253644323</v>
      </c>
      <c r="J146" s="144">
        <f t="shared" si="15"/>
        <v>52381.716034985424</v>
      </c>
    </row>
    <row r="147" spans="1:10" hidden="1" x14ac:dyDescent="0.25">
      <c r="A147" s="143" t="s">
        <v>38</v>
      </c>
      <c r="B147" s="144">
        <f t="shared" si="14"/>
        <v>2154.5189504373179</v>
      </c>
      <c r="C147" s="144">
        <f t="shared" si="14"/>
        <v>0</v>
      </c>
      <c r="D147" s="144">
        <f t="shared" si="14"/>
        <v>0</v>
      </c>
      <c r="E147" s="144">
        <f t="shared" si="14"/>
        <v>2879.0087463556852</v>
      </c>
      <c r="F147" s="144">
        <f t="shared" si="14"/>
        <v>19616.826322365683</v>
      </c>
      <c r="G147" s="144">
        <f t="shared" si="14"/>
        <v>16830.909620991253</v>
      </c>
      <c r="H147" s="144">
        <f t="shared" si="14"/>
        <v>1749.2711370262391</v>
      </c>
      <c r="I147" s="144">
        <f t="shared" si="14"/>
        <v>2332.010787172012</v>
      </c>
      <c r="J147" s="144">
        <f t="shared" si="15"/>
        <v>45562.545564348191</v>
      </c>
    </row>
    <row r="148" spans="1:10" hidden="1" x14ac:dyDescent="0.25">
      <c r="A148" s="143" t="s">
        <v>39</v>
      </c>
      <c r="B148" s="144">
        <f t="shared" si="14"/>
        <v>4309.0379008746359</v>
      </c>
      <c r="C148" s="144">
        <f t="shared" si="14"/>
        <v>0</v>
      </c>
      <c r="D148" s="144">
        <f t="shared" si="14"/>
        <v>0</v>
      </c>
      <c r="E148" s="144">
        <f t="shared" si="14"/>
        <v>2879.0087463556852</v>
      </c>
      <c r="F148" s="144">
        <f t="shared" si="14"/>
        <v>8663.0570595585177</v>
      </c>
      <c r="G148" s="144">
        <f t="shared" si="14"/>
        <v>16830.909620991253</v>
      </c>
      <c r="H148" s="144">
        <f t="shared" si="14"/>
        <v>6997.0845481049564</v>
      </c>
      <c r="I148" s="144">
        <f t="shared" si="14"/>
        <v>1446.9081632653063</v>
      </c>
      <c r="J148" s="144">
        <f t="shared" si="15"/>
        <v>41126.00603915035</v>
      </c>
    </row>
    <row r="149" spans="1:10" hidden="1" x14ac:dyDescent="0.25">
      <c r="A149" s="143" t="s">
        <v>40</v>
      </c>
      <c r="B149" s="144">
        <f t="shared" si="14"/>
        <v>6463.5568513119533</v>
      </c>
      <c r="C149" s="144">
        <f t="shared" si="14"/>
        <v>0</v>
      </c>
      <c r="D149" s="144">
        <f t="shared" si="14"/>
        <v>0</v>
      </c>
      <c r="E149" s="144">
        <f t="shared" si="14"/>
        <v>0</v>
      </c>
      <c r="F149" s="144">
        <f t="shared" si="14"/>
        <v>4978.7588504789674</v>
      </c>
      <c r="G149" s="144">
        <f t="shared" si="14"/>
        <v>16830.909620991253</v>
      </c>
      <c r="H149" s="144">
        <f t="shared" si="14"/>
        <v>10495.626822157436</v>
      </c>
      <c r="I149" s="144">
        <f t="shared" si="14"/>
        <v>3415.2355685131201</v>
      </c>
      <c r="J149" s="144">
        <f t="shared" si="15"/>
        <v>42184.087713452725</v>
      </c>
    </row>
    <row r="150" spans="1:10" hidden="1" x14ac:dyDescent="0.25">
      <c r="A150" s="143" t="s">
        <v>41</v>
      </c>
      <c r="B150" s="144">
        <f t="shared" si="14"/>
        <v>10772.594752186587</v>
      </c>
      <c r="C150" s="144">
        <f t="shared" si="14"/>
        <v>0</v>
      </c>
      <c r="D150" s="144">
        <f t="shared" si="14"/>
        <v>0</v>
      </c>
      <c r="E150" s="144">
        <f t="shared" si="14"/>
        <v>0</v>
      </c>
      <c r="F150" s="144">
        <f t="shared" si="14"/>
        <v>1551.4369012911288</v>
      </c>
      <c r="G150" s="144">
        <f t="shared" si="14"/>
        <v>25246.303206997087</v>
      </c>
      <c r="H150" s="144">
        <f t="shared" si="14"/>
        <v>15743.440233236153</v>
      </c>
      <c r="I150" s="144">
        <f t="shared" si="14"/>
        <v>2280.0874635568516</v>
      </c>
      <c r="J150" s="144">
        <f t="shared" si="15"/>
        <v>55593.862557267807</v>
      </c>
    </row>
    <row r="151" spans="1:10" hidden="1" x14ac:dyDescent="0.25">
      <c r="A151" s="143" t="s">
        <v>42</v>
      </c>
      <c r="B151" s="144">
        <f t="shared" si="14"/>
        <v>12927.113702623907</v>
      </c>
      <c r="C151" s="144">
        <f t="shared" si="14"/>
        <v>0</v>
      </c>
      <c r="D151" s="144">
        <f t="shared" si="14"/>
        <v>0</v>
      </c>
      <c r="E151" s="144">
        <f t="shared" si="14"/>
        <v>2879.0087463556852</v>
      </c>
      <c r="F151" s="144">
        <f t="shared" si="14"/>
        <v>1542.6905456059976</v>
      </c>
      <c r="G151" s="144">
        <f t="shared" si="14"/>
        <v>25246.303206997087</v>
      </c>
      <c r="H151" s="144">
        <f t="shared" si="14"/>
        <v>19241.982507288631</v>
      </c>
      <c r="I151" s="144">
        <f t="shared" si="14"/>
        <v>8105.1685131195336</v>
      </c>
      <c r="J151" s="144">
        <f t="shared" si="15"/>
        <v>69942.267221990842</v>
      </c>
    </row>
    <row r="152" spans="1:10" hidden="1" x14ac:dyDescent="0.25">
      <c r="A152" s="143" t="s">
        <v>43</v>
      </c>
      <c r="B152" s="144">
        <f t="shared" si="14"/>
        <v>12927.113702623907</v>
      </c>
      <c r="C152" s="144">
        <f t="shared" si="14"/>
        <v>0</v>
      </c>
      <c r="D152" s="144">
        <f t="shared" si="14"/>
        <v>0</v>
      </c>
      <c r="E152" s="144">
        <f t="shared" si="14"/>
        <v>0</v>
      </c>
      <c r="F152" s="144">
        <f t="shared" si="14"/>
        <v>1457.7259475218659</v>
      </c>
      <c r="G152" s="144">
        <f t="shared" si="14"/>
        <v>25246.303206997087</v>
      </c>
      <c r="H152" s="144">
        <f t="shared" si="14"/>
        <v>19241.982507288631</v>
      </c>
      <c r="I152" s="144">
        <f t="shared" si="14"/>
        <v>3358.9795918367349</v>
      </c>
      <c r="J152" s="144">
        <f t="shared" si="15"/>
        <v>62232.104956268224</v>
      </c>
    </row>
    <row r="153" spans="1:10" hidden="1" x14ac:dyDescent="0.25">
      <c r="A153" s="143" t="s">
        <v>44</v>
      </c>
      <c r="B153" s="144">
        <f t="shared" si="14"/>
        <v>4309.0379008746359</v>
      </c>
      <c r="C153" s="144">
        <f t="shared" si="14"/>
        <v>0</v>
      </c>
      <c r="D153" s="144">
        <f t="shared" si="14"/>
        <v>0</v>
      </c>
      <c r="E153" s="144">
        <f t="shared" si="14"/>
        <v>2879.0087463556852</v>
      </c>
      <c r="F153" s="144">
        <f t="shared" si="14"/>
        <v>1898.3756768013329</v>
      </c>
      <c r="G153" s="144">
        <f t="shared" si="14"/>
        <v>21038.60641399417</v>
      </c>
      <c r="H153" s="144">
        <f t="shared" si="14"/>
        <v>10495.626822157436</v>
      </c>
      <c r="I153" s="144">
        <f t="shared" si="14"/>
        <v>979.67930029154525</v>
      </c>
      <c r="J153" s="144">
        <f t="shared" si="15"/>
        <v>41600.334860474803</v>
      </c>
    </row>
    <row r="154" spans="1:10" hidden="1" x14ac:dyDescent="0.25">
      <c r="A154" s="143" t="s">
        <v>45</v>
      </c>
      <c r="B154" s="144">
        <f t="shared" si="14"/>
        <v>2154.5189504373179</v>
      </c>
      <c r="C154" s="144">
        <f t="shared" si="14"/>
        <v>0</v>
      </c>
      <c r="D154" s="144">
        <f t="shared" si="14"/>
        <v>0</v>
      </c>
      <c r="E154" s="144">
        <f t="shared" si="14"/>
        <v>0</v>
      </c>
      <c r="F154" s="144">
        <f t="shared" si="14"/>
        <v>5331.1120366513951</v>
      </c>
      <c r="G154" s="144">
        <f t="shared" si="14"/>
        <v>16830.909620991253</v>
      </c>
      <c r="H154" s="144">
        <f t="shared" si="14"/>
        <v>8746.3556851311969</v>
      </c>
      <c r="I154" s="144">
        <f t="shared" si="14"/>
        <v>1356.3069970845484</v>
      </c>
      <c r="J154" s="144">
        <f t="shared" si="15"/>
        <v>34419.203290295707</v>
      </c>
    </row>
    <row r="155" spans="1:10" hidden="1" x14ac:dyDescent="0.25">
      <c r="A155" s="143" t="s">
        <v>46</v>
      </c>
      <c r="B155" s="144">
        <f t="shared" si="14"/>
        <v>1292.7113702623908</v>
      </c>
      <c r="C155" s="144">
        <f t="shared" si="14"/>
        <v>16793.002915451896</v>
      </c>
      <c r="D155" s="144">
        <f t="shared" si="14"/>
        <v>24183.673469387759</v>
      </c>
      <c r="E155" s="144">
        <f t="shared" si="14"/>
        <v>0</v>
      </c>
      <c r="F155" s="144">
        <f t="shared" si="14"/>
        <v>15889.21282798834</v>
      </c>
      <c r="G155" s="144">
        <f t="shared" si="14"/>
        <v>16830.909620991253</v>
      </c>
      <c r="H155" s="144">
        <f t="shared" si="14"/>
        <v>6997.0845481049564</v>
      </c>
      <c r="I155" s="144">
        <f t="shared" si="14"/>
        <v>478.27521865889219</v>
      </c>
      <c r="J155" s="144">
        <f t="shared" si="15"/>
        <v>82464.869970845481</v>
      </c>
    </row>
    <row r="156" spans="1:10" hidden="1" x14ac:dyDescent="0.25">
      <c r="A156" s="143" t="s">
        <v>47</v>
      </c>
      <c r="B156" s="144">
        <f t="shared" si="14"/>
        <v>0</v>
      </c>
      <c r="C156" s="144">
        <f t="shared" si="14"/>
        <v>16793.002915451896</v>
      </c>
      <c r="D156" s="144">
        <f t="shared" si="14"/>
        <v>0</v>
      </c>
      <c r="E156" s="144">
        <f t="shared" si="14"/>
        <v>0</v>
      </c>
      <c r="F156" s="144">
        <f t="shared" si="14"/>
        <v>23323.615160349855</v>
      </c>
      <c r="G156" s="144">
        <f t="shared" si="14"/>
        <v>16830.909620991253</v>
      </c>
      <c r="H156" s="144">
        <f t="shared" si="14"/>
        <v>0</v>
      </c>
      <c r="I156" s="144">
        <f t="shared" si="14"/>
        <v>0</v>
      </c>
      <c r="J156" s="144">
        <f t="shared" si="15"/>
        <v>56947.527696793004</v>
      </c>
    </row>
    <row r="157" spans="1:10" hidden="1" x14ac:dyDescent="0.25">
      <c r="A157" s="136" t="s">
        <v>24</v>
      </c>
      <c r="B157" s="145">
        <f t="shared" ref="B157:J157" si="16">SUM(B145:B156)</f>
        <v>59033.819241982514</v>
      </c>
      <c r="C157" s="145">
        <f t="shared" si="16"/>
        <v>33586.005830903792</v>
      </c>
      <c r="D157" s="145">
        <f t="shared" si="16"/>
        <v>24183.673469387759</v>
      </c>
      <c r="E157" s="145">
        <f t="shared" si="16"/>
        <v>11516.034985422741</v>
      </c>
      <c r="F157" s="145">
        <f t="shared" si="16"/>
        <v>144894.21074552269</v>
      </c>
      <c r="G157" s="145">
        <f t="shared" si="16"/>
        <v>231424.79300291545</v>
      </c>
      <c r="H157" s="145">
        <f t="shared" si="16"/>
        <v>99708.454810495648</v>
      </c>
      <c r="I157" s="145">
        <f t="shared" si="16"/>
        <v>31057.399125364434</v>
      </c>
      <c r="J157" s="145">
        <f t="shared" si="16"/>
        <v>635404.39121199504</v>
      </c>
    </row>
    <row r="158" spans="1:10" hidden="1" x14ac:dyDescent="0.25"/>
    <row r="159" spans="1:10" hidden="1" x14ac:dyDescent="0.25"/>
    <row r="160" spans="1:10" ht="15.75" hidden="1" thickBot="1" x14ac:dyDescent="0.3"/>
    <row r="161" spans="3:8" ht="69.75" hidden="1" x14ac:dyDescent="0.25">
      <c r="C161" s="221" t="s">
        <v>152</v>
      </c>
      <c r="D161" s="223" t="s">
        <v>153</v>
      </c>
      <c r="E161" s="224"/>
      <c r="F161" s="146" t="s">
        <v>154</v>
      </c>
      <c r="G161" s="223" t="s">
        <v>155</v>
      </c>
      <c r="H161" s="225"/>
    </row>
    <row r="162" spans="3:8" ht="42" hidden="1" x14ac:dyDescent="0.25">
      <c r="C162" s="222"/>
      <c r="D162" s="147" t="s">
        <v>156</v>
      </c>
      <c r="E162" s="147" t="s">
        <v>157</v>
      </c>
      <c r="F162" s="148" t="s">
        <v>158</v>
      </c>
      <c r="G162" s="147" t="s">
        <v>156</v>
      </c>
      <c r="H162" s="149" t="s">
        <v>157</v>
      </c>
    </row>
    <row r="163" spans="3:8" ht="21" hidden="1" x14ac:dyDescent="0.35">
      <c r="C163" s="150" t="s">
        <v>12</v>
      </c>
      <c r="D163" s="151">
        <v>0</v>
      </c>
      <c r="E163" s="151">
        <v>3</v>
      </c>
      <c r="F163" s="152">
        <v>1.457725947521866</v>
      </c>
      <c r="G163" s="152">
        <f>D163*F163</f>
        <v>0</v>
      </c>
      <c r="H163" s="153">
        <f>E163*F163</f>
        <v>4.3731778425655978</v>
      </c>
    </row>
    <row r="164" spans="3:8" ht="21" hidden="1" x14ac:dyDescent="0.35">
      <c r="C164" s="150" t="s">
        <v>13</v>
      </c>
      <c r="D164" s="151">
        <v>0</v>
      </c>
      <c r="E164" s="151">
        <v>2</v>
      </c>
      <c r="F164" s="152">
        <v>1.7492711370262393</v>
      </c>
      <c r="G164" s="152">
        <f t="shared" ref="G164:G173" si="17">D164*F164</f>
        <v>0</v>
      </c>
      <c r="H164" s="153">
        <f t="shared" ref="H164:H173" si="18">E164*F164</f>
        <v>3.4985422740524785</v>
      </c>
    </row>
    <row r="165" spans="3:8" ht="21" hidden="1" x14ac:dyDescent="0.35">
      <c r="C165" s="150" t="s">
        <v>14</v>
      </c>
      <c r="D165" s="151">
        <v>1</v>
      </c>
      <c r="E165" s="151">
        <v>3</v>
      </c>
      <c r="F165" s="152">
        <v>1.7492711370262393</v>
      </c>
      <c r="G165" s="152">
        <f t="shared" si="17"/>
        <v>1.7492711370262393</v>
      </c>
      <c r="H165" s="153">
        <f t="shared" si="18"/>
        <v>5.2478134110787176</v>
      </c>
    </row>
    <row r="166" spans="3:8" ht="21" hidden="1" x14ac:dyDescent="0.35">
      <c r="C166" s="150" t="s">
        <v>15</v>
      </c>
      <c r="D166" s="151">
        <v>4</v>
      </c>
      <c r="E166" s="151">
        <v>3</v>
      </c>
      <c r="F166" s="152">
        <v>1.457725947521866</v>
      </c>
      <c r="G166" s="152">
        <f t="shared" si="17"/>
        <v>5.8309037900874641</v>
      </c>
      <c r="H166" s="153">
        <f t="shared" si="18"/>
        <v>4.3731778425655978</v>
      </c>
    </row>
    <row r="167" spans="3:8" ht="21" hidden="1" x14ac:dyDescent="0.35">
      <c r="C167" s="150" t="s">
        <v>16</v>
      </c>
      <c r="D167" s="151">
        <v>6</v>
      </c>
      <c r="E167" s="151">
        <v>5</v>
      </c>
      <c r="F167" s="152">
        <v>0.87463556851311963</v>
      </c>
      <c r="G167" s="152">
        <f t="shared" si="17"/>
        <v>5.2478134110787176</v>
      </c>
      <c r="H167" s="153">
        <f t="shared" si="18"/>
        <v>4.3731778425655978</v>
      </c>
    </row>
    <row r="168" spans="3:8" ht="21" hidden="1" x14ac:dyDescent="0.35">
      <c r="C168" s="150" t="s">
        <v>17</v>
      </c>
      <c r="D168" s="151">
        <v>8</v>
      </c>
      <c r="E168" s="151">
        <v>6</v>
      </c>
      <c r="F168" s="152">
        <v>0.72886297376093301</v>
      </c>
      <c r="G168" s="152">
        <f t="shared" si="17"/>
        <v>5.8309037900874641</v>
      </c>
      <c r="H168" s="153">
        <f t="shared" si="18"/>
        <v>4.3731778425655978</v>
      </c>
    </row>
    <row r="169" spans="3:8" ht="21" hidden="1" x14ac:dyDescent="0.35">
      <c r="C169" s="150" t="s">
        <v>18</v>
      </c>
      <c r="D169" s="151">
        <v>11</v>
      </c>
      <c r="E169" s="151">
        <v>2</v>
      </c>
      <c r="F169" s="152">
        <v>0.72886297376093301</v>
      </c>
      <c r="G169" s="152">
        <f t="shared" si="17"/>
        <v>8.017492711370263</v>
      </c>
      <c r="H169" s="153">
        <f t="shared" si="18"/>
        <v>1.457725947521866</v>
      </c>
    </row>
    <row r="170" spans="3:8" ht="21" hidden="1" x14ac:dyDescent="0.35">
      <c r="C170" s="150" t="s">
        <v>19</v>
      </c>
      <c r="D170" s="151">
        <v>10</v>
      </c>
      <c r="E170" s="151">
        <v>0</v>
      </c>
      <c r="F170" s="152">
        <v>0.72886297376093301</v>
      </c>
      <c r="G170" s="152">
        <f t="shared" si="17"/>
        <v>7.2886297376093303</v>
      </c>
      <c r="H170" s="153">
        <f t="shared" si="18"/>
        <v>0</v>
      </c>
    </row>
    <row r="171" spans="3:8" ht="21" hidden="1" x14ac:dyDescent="0.35">
      <c r="C171" s="150" t="s">
        <v>20</v>
      </c>
      <c r="D171" s="151">
        <v>7</v>
      </c>
      <c r="E171" s="151">
        <v>0</v>
      </c>
      <c r="F171" s="152">
        <v>1.0204081632653061</v>
      </c>
      <c r="G171" s="152">
        <f t="shared" si="17"/>
        <v>7.1428571428571432</v>
      </c>
      <c r="H171" s="153">
        <f t="shared" si="18"/>
        <v>0</v>
      </c>
    </row>
    <row r="172" spans="3:8" ht="21" hidden="1" x14ac:dyDescent="0.35">
      <c r="C172" s="150" t="s">
        <v>21</v>
      </c>
      <c r="D172" s="151">
        <v>6</v>
      </c>
      <c r="E172" s="151">
        <v>0</v>
      </c>
      <c r="F172" s="152">
        <v>1.3119533527696794</v>
      </c>
      <c r="G172" s="152">
        <f t="shared" si="17"/>
        <v>7.8717201166180768</v>
      </c>
      <c r="H172" s="153">
        <f t="shared" si="18"/>
        <v>0</v>
      </c>
    </row>
    <row r="173" spans="3:8" ht="21" hidden="1" x14ac:dyDescent="0.35">
      <c r="C173" s="150" t="s">
        <v>22</v>
      </c>
      <c r="D173" s="151">
        <v>6</v>
      </c>
      <c r="E173" s="151">
        <v>3</v>
      </c>
      <c r="F173" s="152">
        <v>1.3119533527696794</v>
      </c>
      <c r="G173" s="152">
        <f t="shared" si="17"/>
        <v>7.8717201166180768</v>
      </c>
      <c r="H173" s="153">
        <f t="shared" si="18"/>
        <v>3.9358600583090384</v>
      </c>
    </row>
    <row r="174" spans="3:8" ht="21" hidden="1" x14ac:dyDescent="0.35">
      <c r="C174" s="150" t="s">
        <v>23</v>
      </c>
      <c r="D174" s="151">
        <v>1</v>
      </c>
      <c r="E174" s="151">
        <v>3</v>
      </c>
      <c r="F174" s="152">
        <v>1.457725947521866</v>
      </c>
      <c r="G174" s="152">
        <f>D174*F174</f>
        <v>1.457725947521866</v>
      </c>
      <c r="H174" s="153">
        <f>E174*F174</f>
        <v>4.3731778425655978</v>
      </c>
    </row>
    <row r="175" spans="3:8" ht="32.25" hidden="1" thickBot="1" x14ac:dyDescent="0.3">
      <c r="C175" s="154" t="s">
        <v>24</v>
      </c>
      <c r="D175" s="155">
        <v>60</v>
      </c>
      <c r="E175" s="155">
        <v>30</v>
      </c>
      <c r="F175" s="155"/>
      <c r="G175" s="155">
        <f>SUM(G163:G174)</f>
        <v>58.30903790087465</v>
      </c>
      <c r="H175" s="156">
        <f>SUM(H163:H174)</f>
        <v>36.005830903790084</v>
      </c>
    </row>
  </sheetData>
  <mergeCells count="36">
    <mergeCell ref="H1:J1"/>
    <mergeCell ref="A19:A20"/>
    <mergeCell ref="B19:E19"/>
    <mergeCell ref="F19:F20"/>
    <mergeCell ref="G19:G20"/>
    <mergeCell ref="H19:H20"/>
    <mergeCell ref="I19:I20"/>
    <mergeCell ref="J19:J20"/>
    <mergeCell ref="A1:A2"/>
    <mergeCell ref="B1:B2"/>
    <mergeCell ref="C1:C2"/>
    <mergeCell ref="D1:D2"/>
    <mergeCell ref="E1:E2"/>
    <mergeCell ref="F1:G1"/>
    <mergeCell ref="A17:G17"/>
    <mergeCell ref="A36:B36"/>
    <mergeCell ref="E41:F41"/>
    <mergeCell ref="E43:F43"/>
    <mergeCell ref="E63:H63"/>
    <mergeCell ref="A80:E80"/>
    <mergeCell ref="F80:J80"/>
    <mergeCell ref="A143:A144"/>
    <mergeCell ref="B143:E143"/>
    <mergeCell ref="F143:F144"/>
    <mergeCell ref="G143:G144"/>
    <mergeCell ref="H143:H144"/>
    <mergeCell ref="A85:D85"/>
    <mergeCell ref="G85:I85"/>
    <mergeCell ref="A86:I86"/>
    <mergeCell ref="A102:C102"/>
    <mergeCell ref="A123:C123"/>
    <mergeCell ref="I143:I144"/>
    <mergeCell ref="J143:J144"/>
    <mergeCell ref="C161:C162"/>
    <mergeCell ref="D161:E161"/>
    <mergeCell ref="G161:H16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workbookViewId="0">
      <selection activeCell="A36" sqref="A36:B36"/>
    </sheetView>
  </sheetViews>
  <sheetFormatPr defaultRowHeight="15" x14ac:dyDescent="0.25"/>
  <cols>
    <col min="1" max="1" width="19.7109375" customWidth="1"/>
    <col min="2" max="2" width="14.7109375" customWidth="1"/>
    <col min="3" max="3" width="19.42578125" customWidth="1"/>
    <col min="4" max="8" width="15.7109375" customWidth="1"/>
    <col min="9" max="9" width="18.28515625" customWidth="1"/>
    <col min="10" max="10" width="15.7109375" customWidth="1"/>
    <col min="11" max="11" width="12" hidden="1" customWidth="1"/>
    <col min="12" max="12" width="12.7109375" hidden="1" customWidth="1"/>
    <col min="13" max="13" width="14.140625" customWidth="1"/>
    <col min="14" max="14" width="13.7109375" customWidth="1"/>
    <col min="15" max="15" width="12.42578125" customWidth="1"/>
    <col min="16" max="16" width="14.5703125" customWidth="1"/>
    <col min="17" max="17" width="13.7109375" customWidth="1"/>
    <col min="18" max="20" width="8.85546875" customWidth="1"/>
  </cols>
  <sheetData>
    <row r="1" spans="1:11" x14ac:dyDescent="0.25">
      <c r="A1" s="253" t="s">
        <v>0</v>
      </c>
      <c r="B1" s="253" t="s">
        <v>1</v>
      </c>
      <c r="C1" s="252" t="s">
        <v>2</v>
      </c>
      <c r="D1" s="253" t="s">
        <v>3</v>
      </c>
      <c r="E1" s="254" t="s">
        <v>4</v>
      </c>
      <c r="F1" s="256" t="s">
        <v>5</v>
      </c>
      <c r="G1" s="256"/>
      <c r="H1" s="252" t="s">
        <v>6</v>
      </c>
      <c r="I1" s="252"/>
      <c r="J1" s="252"/>
    </row>
    <row r="2" spans="1:11" x14ac:dyDescent="0.25">
      <c r="A2" s="253"/>
      <c r="B2" s="253"/>
      <c r="C2" s="252"/>
      <c r="D2" s="253"/>
      <c r="E2" s="255"/>
      <c r="F2" s="194" t="s">
        <v>7</v>
      </c>
      <c r="G2" s="194" t="s">
        <v>8</v>
      </c>
      <c r="H2" s="195" t="s">
        <v>9</v>
      </c>
      <c r="I2" s="195" t="s">
        <v>10</v>
      </c>
      <c r="J2" s="195" t="s">
        <v>11</v>
      </c>
    </row>
    <row r="3" spans="1:11" x14ac:dyDescent="0.25">
      <c r="A3" s="196" t="s">
        <v>12</v>
      </c>
      <c r="B3" s="197">
        <f>H65*B35</f>
        <v>0</v>
      </c>
      <c r="C3" s="198">
        <f>J21</f>
        <v>334246.2</v>
      </c>
      <c r="D3" s="199">
        <f>B3*F3</f>
        <v>0</v>
      </c>
      <c r="E3" s="199">
        <f>D3-C3</f>
        <v>-334246.2</v>
      </c>
      <c r="F3" s="200">
        <v>50</v>
      </c>
      <c r="G3" s="201">
        <f>F3/C36</f>
        <v>1.2658227848101267</v>
      </c>
      <c r="H3" s="202">
        <f>D3/G41</f>
        <v>0</v>
      </c>
      <c r="I3" s="203">
        <f>C3/G41</f>
        <v>16.712310000000002</v>
      </c>
      <c r="J3" s="203">
        <f>H3-I3</f>
        <v>-16.712310000000002</v>
      </c>
    </row>
    <row r="4" spans="1:11" x14ac:dyDescent="0.25">
      <c r="A4" s="196" t="s">
        <v>13</v>
      </c>
      <c r="B4" s="197">
        <f>H66*B35</f>
        <v>0</v>
      </c>
      <c r="C4" s="198">
        <f t="shared" ref="C4:C14" si="0">J22</f>
        <v>334246.2</v>
      </c>
      <c r="D4" s="199">
        <f t="shared" ref="D4:D14" si="1">B4*F4</f>
        <v>0</v>
      </c>
      <c r="E4" s="199">
        <f t="shared" ref="E4:E14" si="2">D4-C4</f>
        <v>-334246.2</v>
      </c>
      <c r="F4" s="200">
        <f>'[1]kışlık desen'!F4</f>
        <v>50</v>
      </c>
      <c r="G4" s="201">
        <f>F4/C36</f>
        <v>1.2658227848101267</v>
      </c>
      <c r="H4" s="202">
        <f>D4/G41</f>
        <v>0</v>
      </c>
      <c r="I4" s="203">
        <f>C4/G41</f>
        <v>16.712310000000002</v>
      </c>
      <c r="J4" s="203">
        <f t="shared" ref="J4:J15" si="3">H4-I4</f>
        <v>-16.712310000000002</v>
      </c>
      <c r="K4" s="10"/>
    </row>
    <row r="5" spans="1:11" x14ac:dyDescent="0.25">
      <c r="A5" s="196" t="s">
        <v>14</v>
      </c>
      <c r="B5" s="197">
        <f>H67*B35</f>
        <v>0</v>
      </c>
      <c r="C5" s="198">
        <f t="shared" si="0"/>
        <v>1236549.3128571429</v>
      </c>
      <c r="D5" s="199">
        <f t="shared" si="1"/>
        <v>0</v>
      </c>
      <c r="E5" s="199">
        <f t="shared" si="2"/>
        <v>-1236549.3128571429</v>
      </c>
      <c r="F5" s="200">
        <f>'[1]kışlık desen'!F5</f>
        <v>60</v>
      </c>
      <c r="G5" s="201">
        <f>F5/C36</f>
        <v>1.518987341772152</v>
      </c>
      <c r="H5" s="202">
        <f>D5/G41</f>
        <v>0</v>
      </c>
      <c r="I5" s="203">
        <f>C5/G41</f>
        <v>61.827465642857142</v>
      </c>
      <c r="J5" s="203">
        <f t="shared" si="3"/>
        <v>-61.827465642857142</v>
      </c>
      <c r="K5" s="10"/>
    </row>
    <row r="6" spans="1:11" x14ac:dyDescent="0.25">
      <c r="A6" s="196" t="s">
        <v>15</v>
      </c>
      <c r="B6" s="197">
        <f>H68*B35</f>
        <v>0</v>
      </c>
      <c r="C6" s="198">
        <f t="shared" si="0"/>
        <v>1005436.0071428572</v>
      </c>
      <c r="D6" s="199">
        <f t="shared" si="1"/>
        <v>0</v>
      </c>
      <c r="E6" s="199">
        <f t="shared" si="2"/>
        <v>-1005436.0071428572</v>
      </c>
      <c r="F6" s="200">
        <f>'[1]kışlık desen'!F6</f>
        <v>45</v>
      </c>
      <c r="G6" s="201">
        <f>F6/C36</f>
        <v>1.139240506329114</v>
      </c>
      <c r="H6" s="204">
        <f>D6/G41</f>
        <v>0</v>
      </c>
      <c r="I6" s="203">
        <f>C6/G41</f>
        <v>50.271800357142858</v>
      </c>
      <c r="J6" s="203">
        <f t="shared" si="3"/>
        <v>-50.271800357142858</v>
      </c>
      <c r="K6" s="10"/>
    </row>
    <row r="7" spans="1:11" x14ac:dyDescent="0.25">
      <c r="A7" s="196" t="s">
        <v>16</v>
      </c>
      <c r="B7" s="197">
        <f>H69*B35</f>
        <v>20000</v>
      </c>
      <c r="C7" s="198">
        <f t="shared" si="0"/>
        <v>1266785.7352380953</v>
      </c>
      <c r="D7" s="199">
        <f t="shared" si="1"/>
        <v>500000</v>
      </c>
      <c r="E7" s="199">
        <f t="shared" si="2"/>
        <v>-766785.73523809528</v>
      </c>
      <c r="F7" s="200">
        <f>'[1]kışlık desen'!F7</f>
        <v>25</v>
      </c>
      <c r="G7" s="201">
        <f>F7/C36</f>
        <v>0.63291139240506333</v>
      </c>
      <c r="H7" s="204">
        <f>D7/G41</f>
        <v>25</v>
      </c>
      <c r="I7" s="203">
        <f>C7/G41</f>
        <v>63.339286761904766</v>
      </c>
      <c r="J7" s="203">
        <f t="shared" si="3"/>
        <v>-38.339286761904766</v>
      </c>
      <c r="K7" s="10"/>
    </row>
    <row r="8" spans="1:11" x14ac:dyDescent="0.25">
      <c r="A8" s="205" t="s">
        <v>17</v>
      </c>
      <c r="B8" s="197">
        <f>H70*B35</f>
        <v>120000</v>
      </c>
      <c r="C8" s="198">
        <f t="shared" si="0"/>
        <v>1614498.4857142856</v>
      </c>
      <c r="D8" s="199">
        <f t="shared" si="1"/>
        <v>3000000</v>
      </c>
      <c r="E8" s="199">
        <f t="shared" si="2"/>
        <v>1385501.5142857144</v>
      </c>
      <c r="F8" s="200">
        <v>25</v>
      </c>
      <c r="G8" s="201">
        <f>F8/C36</f>
        <v>0.63291139240506333</v>
      </c>
      <c r="H8" s="206">
        <f>D8/G41</f>
        <v>150</v>
      </c>
      <c r="I8" s="203">
        <f>C8/G41</f>
        <v>80.72492428571428</v>
      </c>
      <c r="J8" s="203">
        <f t="shared" si="3"/>
        <v>69.27507571428572</v>
      </c>
      <c r="K8" s="14"/>
    </row>
    <row r="9" spans="1:11" x14ac:dyDescent="0.25">
      <c r="A9" s="205" t="s">
        <v>18</v>
      </c>
      <c r="B9" s="197">
        <f>H71*B35</f>
        <v>200000</v>
      </c>
      <c r="C9" s="198">
        <f t="shared" si="0"/>
        <v>2332779.7657142854</v>
      </c>
      <c r="D9" s="199">
        <f t="shared" si="1"/>
        <v>5000000</v>
      </c>
      <c r="E9" s="199">
        <f t="shared" si="2"/>
        <v>2667220.2342857146</v>
      </c>
      <c r="F9" s="200">
        <v>25</v>
      </c>
      <c r="G9" s="201">
        <f>F9/C36</f>
        <v>0.63291139240506333</v>
      </c>
      <c r="H9" s="206">
        <f>D9/G41</f>
        <v>250</v>
      </c>
      <c r="I9" s="203">
        <f>C9/G41</f>
        <v>116.63898828571428</v>
      </c>
      <c r="J9" s="203">
        <f t="shared" si="3"/>
        <v>133.36101171428572</v>
      </c>
    </row>
    <row r="10" spans="1:11" x14ac:dyDescent="0.25">
      <c r="A10" s="205" t="s">
        <v>19</v>
      </c>
      <c r="B10" s="197">
        <f>H72*B35</f>
        <v>200000</v>
      </c>
      <c r="C10" s="198">
        <f t="shared" si="0"/>
        <v>2106725.5333333332</v>
      </c>
      <c r="D10" s="199">
        <f t="shared" si="1"/>
        <v>5000000</v>
      </c>
      <c r="E10" s="199">
        <f t="shared" si="2"/>
        <v>2893274.4666666668</v>
      </c>
      <c r="F10" s="200">
        <f>'[1]kışlık desen'!F10</f>
        <v>25</v>
      </c>
      <c r="G10" s="201">
        <f>F10/C36</f>
        <v>0.63291139240506333</v>
      </c>
      <c r="H10" s="206">
        <f>D10/G41</f>
        <v>250</v>
      </c>
      <c r="I10" s="203">
        <f>C10/G41</f>
        <v>105.33627666666666</v>
      </c>
      <c r="J10" s="203">
        <f t="shared" si="3"/>
        <v>144.66372333333334</v>
      </c>
    </row>
    <row r="11" spans="1:11" x14ac:dyDescent="0.25">
      <c r="A11" s="205" t="s">
        <v>20</v>
      </c>
      <c r="B11" s="197">
        <f>H73*B35</f>
        <v>120000</v>
      </c>
      <c r="C11" s="198">
        <f t="shared" si="0"/>
        <v>1437291.4857142856</v>
      </c>
      <c r="D11" s="199">
        <f t="shared" si="1"/>
        <v>3600000</v>
      </c>
      <c r="E11" s="199">
        <f t="shared" si="2"/>
        <v>2162708.5142857144</v>
      </c>
      <c r="F11" s="200">
        <f>'[1]kışlık desen'!F11</f>
        <v>30</v>
      </c>
      <c r="G11" s="201">
        <f>F11/C36</f>
        <v>0.759493670886076</v>
      </c>
      <c r="H11" s="206">
        <f>D11/G41</f>
        <v>180</v>
      </c>
      <c r="I11" s="203">
        <f>C11/G41</f>
        <v>71.864574285714284</v>
      </c>
      <c r="J11" s="203">
        <f t="shared" si="3"/>
        <v>108.13542571428572</v>
      </c>
    </row>
    <row r="12" spans="1:11" x14ac:dyDescent="0.25">
      <c r="A12" s="205" t="s">
        <v>21</v>
      </c>
      <c r="B12" s="197">
        <f>H74*B35</f>
        <v>120000</v>
      </c>
      <c r="C12" s="198">
        <f t="shared" si="0"/>
        <v>1400502.672857143</v>
      </c>
      <c r="D12" s="199">
        <f t="shared" si="1"/>
        <v>4800000</v>
      </c>
      <c r="E12" s="199">
        <f t="shared" si="2"/>
        <v>3399497.327142857</v>
      </c>
      <c r="F12" s="200">
        <f>'[1]kışlık desen'!F12</f>
        <v>40</v>
      </c>
      <c r="G12" s="201">
        <f>F12/C36</f>
        <v>1.0126582278481013</v>
      </c>
      <c r="H12" s="206">
        <f>D12/G41</f>
        <v>240</v>
      </c>
      <c r="I12" s="203">
        <f>C12/G41</f>
        <v>70.025133642857156</v>
      </c>
      <c r="J12" s="203">
        <f t="shared" si="3"/>
        <v>169.97486635714284</v>
      </c>
    </row>
    <row r="13" spans="1:11" x14ac:dyDescent="0.25">
      <c r="A13" s="205" t="s">
        <v>22</v>
      </c>
      <c r="B13" s="197">
        <f>H75*B35</f>
        <v>100000</v>
      </c>
      <c r="C13" s="198">
        <f t="shared" si="0"/>
        <v>2783565.04</v>
      </c>
      <c r="D13" s="199">
        <f t="shared" si="1"/>
        <v>5000000</v>
      </c>
      <c r="E13" s="199">
        <f t="shared" si="2"/>
        <v>2216434.96</v>
      </c>
      <c r="F13" s="200">
        <f>'[1]kışlık desen'!F13</f>
        <v>50</v>
      </c>
      <c r="G13" s="201">
        <f>F13/C36</f>
        <v>1.2658227848101267</v>
      </c>
      <c r="H13" s="206">
        <f>D13/G41</f>
        <v>250</v>
      </c>
      <c r="I13" s="203">
        <f>C13/G41</f>
        <v>139.17825200000001</v>
      </c>
      <c r="J13" s="203">
        <f t="shared" si="3"/>
        <v>110.82174799999999</v>
      </c>
    </row>
    <row r="14" spans="1:11" x14ac:dyDescent="0.25">
      <c r="A14" s="205" t="s">
        <v>23</v>
      </c>
      <c r="B14" s="197">
        <f>H76*B35</f>
        <v>20000</v>
      </c>
      <c r="C14" s="198">
        <f t="shared" si="0"/>
        <v>2029940.2</v>
      </c>
      <c r="D14" s="199">
        <f t="shared" si="1"/>
        <v>1000000</v>
      </c>
      <c r="E14" s="199">
        <f t="shared" si="2"/>
        <v>-1029940.2</v>
      </c>
      <c r="F14" s="200">
        <f>'[1]kışlık desen'!F14</f>
        <v>50</v>
      </c>
      <c r="G14" s="201">
        <f>F14/C36</f>
        <v>1.2658227848101267</v>
      </c>
      <c r="H14" s="206">
        <f>D14/G41</f>
        <v>50</v>
      </c>
      <c r="I14" s="203">
        <f>C14/G41</f>
        <v>101.49701</v>
      </c>
      <c r="J14" s="203">
        <f t="shared" si="3"/>
        <v>-51.497010000000003</v>
      </c>
    </row>
    <row r="15" spans="1:11" ht="17.45" customHeight="1" x14ac:dyDescent="0.25">
      <c r="A15" s="207" t="s">
        <v>24</v>
      </c>
      <c r="B15" s="208">
        <f>SUM(B3:B14)</f>
        <v>900000</v>
      </c>
      <c r="C15" s="209">
        <f>SUM(C3:C14)</f>
        <v>17882566.638571426</v>
      </c>
      <c r="D15" s="210">
        <f>SUM(D3:D14)</f>
        <v>27900000</v>
      </c>
      <c r="E15" s="211">
        <f>SUM(E3:E14)</f>
        <v>10017433.361428574</v>
      </c>
      <c r="F15" s="212">
        <f t="shared" ref="F15" si="4">D15/B15</f>
        <v>31</v>
      </c>
      <c r="G15" s="213">
        <f>F15/C36</f>
        <v>0.78481012658227844</v>
      </c>
      <c r="H15" s="214">
        <f>D15/G41</f>
        <v>1395</v>
      </c>
      <c r="I15" s="215">
        <f>C15/G41</f>
        <v>894.12833192857136</v>
      </c>
      <c r="J15" s="215">
        <f t="shared" si="3"/>
        <v>500.87166807142864</v>
      </c>
    </row>
    <row r="16" spans="1:11" x14ac:dyDescent="0.25">
      <c r="A16" s="186" t="s">
        <v>25</v>
      </c>
      <c r="B16" s="187"/>
      <c r="C16" s="188">
        <f>C15/C36</f>
        <v>452723.20603978296</v>
      </c>
      <c r="D16" s="188">
        <f>D15/C36</f>
        <v>706329.11392405059</v>
      </c>
      <c r="E16" s="189">
        <f>E15/C36</f>
        <v>253605.90788426768</v>
      </c>
      <c r="F16" s="190"/>
      <c r="G16" s="190"/>
      <c r="H16" s="219">
        <f>D16/B35</f>
        <v>35.316455696202532</v>
      </c>
      <c r="I16" s="219">
        <f>C16/B35</f>
        <v>22.636160301989147</v>
      </c>
      <c r="J16" s="219">
        <f>H16-I16</f>
        <v>12.680295394213385</v>
      </c>
    </row>
    <row r="17" spans="1:10" x14ac:dyDescent="0.25">
      <c r="A17" s="23"/>
      <c r="B17" s="24"/>
    </row>
    <row r="19" spans="1:10" x14ac:dyDescent="0.25">
      <c r="A19" s="244" t="s">
        <v>0</v>
      </c>
      <c r="B19" s="245" t="s">
        <v>26</v>
      </c>
      <c r="C19" s="245"/>
      <c r="D19" s="245"/>
      <c r="E19" s="245"/>
      <c r="F19" s="246" t="s">
        <v>27</v>
      </c>
      <c r="G19" s="246" t="s">
        <v>28</v>
      </c>
      <c r="H19" s="246" t="s">
        <v>29</v>
      </c>
      <c r="I19" s="244" t="s">
        <v>30</v>
      </c>
      <c r="J19" s="247" t="s">
        <v>31</v>
      </c>
    </row>
    <row r="20" spans="1:10" x14ac:dyDescent="0.25">
      <c r="A20" s="244"/>
      <c r="B20" s="158" t="s">
        <v>32</v>
      </c>
      <c r="C20" s="158" t="s">
        <v>33</v>
      </c>
      <c r="D20" s="158" t="s">
        <v>34</v>
      </c>
      <c r="E20" s="158" t="s">
        <v>35</v>
      </c>
      <c r="F20" s="246"/>
      <c r="G20" s="246"/>
      <c r="H20" s="246"/>
      <c r="I20" s="244"/>
      <c r="J20" s="247"/>
    </row>
    <row r="21" spans="1:10" x14ac:dyDescent="0.25">
      <c r="A21" s="26" t="s">
        <v>36</v>
      </c>
      <c r="B21" s="27">
        <f>D104*B35</f>
        <v>0</v>
      </c>
      <c r="C21" s="27"/>
      <c r="D21" s="27"/>
      <c r="E21" s="27">
        <v>0</v>
      </c>
      <c r="F21" s="28">
        <f>(B35*B47*5)+D47*B35</f>
        <v>260000</v>
      </c>
      <c r="G21" s="28">
        <f>H88+I88</f>
        <v>74246.2</v>
      </c>
      <c r="H21" s="28">
        <f>C62*B35</f>
        <v>0</v>
      </c>
      <c r="I21" s="28">
        <v>0</v>
      </c>
      <c r="J21" s="29">
        <f>SUM(B21:I21)</f>
        <v>334246.2</v>
      </c>
    </row>
    <row r="22" spans="1:10" x14ac:dyDescent="0.25">
      <c r="A22" s="26" t="s">
        <v>37</v>
      </c>
      <c r="B22" s="27">
        <f>D105*B35</f>
        <v>0</v>
      </c>
      <c r="C22" s="30"/>
      <c r="D22" s="27"/>
      <c r="E22" s="27"/>
      <c r="F22" s="28">
        <f>B35*B48*5+D48*B35</f>
        <v>260000</v>
      </c>
      <c r="G22" s="28">
        <f t="shared" ref="G22:G32" si="5">H89+I89</f>
        <v>74246.2</v>
      </c>
      <c r="H22" s="28">
        <f>C63*B35</f>
        <v>0</v>
      </c>
      <c r="I22" s="28">
        <v>0</v>
      </c>
      <c r="J22" s="29">
        <f t="shared" ref="J22:J32" si="6">SUM(B22:I22)</f>
        <v>334246.2</v>
      </c>
    </row>
    <row r="23" spans="1:10" x14ac:dyDescent="0.25">
      <c r="A23" s="26" t="s">
        <v>38</v>
      </c>
      <c r="B23" s="27">
        <f>D106*B35</f>
        <v>13740.000000000002</v>
      </c>
      <c r="C23" s="30"/>
      <c r="D23" s="27"/>
      <c r="E23" s="31">
        <f>B35*(B38/4)*C36</f>
        <v>98750</v>
      </c>
      <c r="F23" s="28">
        <f>B35*B49*5+D49*B35</f>
        <v>672857.14285714284</v>
      </c>
      <c r="G23" s="28">
        <f t="shared" si="5"/>
        <v>371214.2</v>
      </c>
      <c r="H23" s="28">
        <f>C64*B35</f>
        <v>0</v>
      </c>
      <c r="I23" s="28">
        <f>(E127+F127+H127+K127+G49+J49)/20000*B35</f>
        <v>79987.97</v>
      </c>
      <c r="J23" s="29">
        <f t="shared" si="6"/>
        <v>1236549.3128571429</v>
      </c>
    </row>
    <row r="24" spans="1:10" x14ac:dyDescent="0.25">
      <c r="A24" s="26" t="s">
        <v>39</v>
      </c>
      <c r="B24" s="27">
        <f>D107*B35</f>
        <v>68700.000000000015</v>
      </c>
      <c r="C24" s="30"/>
      <c r="D24" s="27"/>
      <c r="E24" s="27">
        <f>E23</f>
        <v>98750</v>
      </c>
      <c r="F24" s="28">
        <f>B35*B50*5+D50*B35</f>
        <v>417142.85714285716</v>
      </c>
      <c r="G24" s="28">
        <f t="shared" si="5"/>
        <v>371214.2</v>
      </c>
      <c r="H24" s="28">
        <f>C65*B35</f>
        <v>0</v>
      </c>
      <c r="I24" s="28">
        <f>(E128+F128+H128+K128+G50+J50)/20000*B35</f>
        <v>49628.95</v>
      </c>
      <c r="J24" s="29">
        <f t="shared" si="6"/>
        <v>1005436.0071428572</v>
      </c>
    </row>
    <row r="25" spans="1:10" x14ac:dyDescent="0.25">
      <c r="A25" s="26" t="s">
        <v>40</v>
      </c>
      <c r="B25" s="27">
        <f>D108*B35</f>
        <v>137400.00000000003</v>
      </c>
      <c r="C25" s="27"/>
      <c r="D25" s="27"/>
      <c r="E25" s="27">
        <f>E21</f>
        <v>0</v>
      </c>
      <c r="F25" s="28">
        <f>B35*B51*5+D51*B35</f>
        <v>170771.42857142858</v>
      </c>
      <c r="G25" s="28">
        <f t="shared" si="5"/>
        <v>742424.2</v>
      </c>
      <c r="H25" s="28">
        <f>C66*B35</f>
        <v>60000</v>
      </c>
      <c r="I25" s="28">
        <f>(E129+F129+H129+K129+G51+J51)/15000*B35</f>
        <v>156190.10666666666</v>
      </c>
      <c r="J25" s="29">
        <f t="shared" si="6"/>
        <v>1266785.7352380953</v>
      </c>
    </row>
    <row r="26" spans="1:10" x14ac:dyDescent="0.25">
      <c r="A26" s="26" t="s">
        <v>41</v>
      </c>
      <c r="B26" s="27">
        <f>D109*B35</f>
        <v>206100.00000000003</v>
      </c>
      <c r="C26" s="27"/>
      <c r="D26" s="27"/>
      <c r="E26" s="27"/>
      <c r="F26" s="28">
        <f>B35*B52*5+D52*B35</f>
        <v>53214.285714285717</v>
      </c>
      <c r="G26" s="28">
        <f t="shared" si="5"/>
        <v>890908.2</v>
      </c>
      <c r="H26" s="28">
        <f>C67*B35</f>
        <v>360000</v>
      </c>
      <c r="I26" s="28">
        <f>(E130+F130+H130+K130+G52+J52)/15000*B35</f>
        <v>104276</v>
      </c>
      <c r="J26" s="29">
        <f t="shared" si="6"/>
        <v>1614498.4857142856</v>
      </c>
    </row>
    <row r="27" spans="1:10" x14ac:dyDescent="0.25">
      <c r="A27" s="26" t="s">
        <v>42</v>
      </c>
      <c r="B27" s="27">
        <f>D110*B35</f>
        <v>412200.00000000006</v>
      </c>
      <c r="C27" s="27"/>
      <c r="D27" s="27"/>
      <c r="E27" s="32">
        <f>E23</f>
        <v>98750</v>
      </c>
      <c r="F27" s="28">
        <f>B35*B53*5+D53*B35</f>
        <v>52914.285714285717</v>
      </c>
      <c r="G27" s="28">
        <f t="shared" si="5"/>
        <v>890908.2</v>
      </c>
      <c r="H27" s="28">
        <f>C68*B35</f>
        <v>600000</v>
      </c>
      <c r="I27" s="28">
        <f>(E131+F131+H131+K131+G53+J53)/20000*B35</f>
        <v>278007.27999999997</v>
      </c>
      <c r="J27" s="29">
        <f t="shared" si="6"/>
        <v>2332779.7657142854</v>
      </c>
    </row>
    <row r="28" spans="1:10" x14ac:dyDescent="0.25">
      <c r="A28" s="26" t="s">
        <v>43</v>
      </c>
      <c r="B28" s="27">
        <f>D111*B35</f>
        <v>412200.00000000006</v>
      </c>
      <c r="C28" s="27"/>
      <c r="D28" s="27"/>
      <c r="E28" s="27"/>
      <c r="F28" s="28">
        <f>B35*B54*5+D54*B35</f>
        <v>50000</v>
      </c>
      <c r="G28" s="28">
        <f t="shared" si="5"/>
        <v>890908.2</v>
      </c>
      <c r="H28" s="28">
        <f>C69*B35</f>
        <v>600000</v>
      </c>
      <c r="I28" s="28">
        <f>(E132+F132+H132+K132+G54+J54)/15000*B35</f>
        <v>153617.33333333334</v>
      </c>
      <c r="J28" s="29">
        <f t="shared" si="6"/>
        <v>2106725.5333333332</v>
      </c>
    </row>
    <row r="29" spans="1:10" x14ac:dyDescent="0.25">
      <c r="A29" s="26" t="s">
        <v>44</v>
      </c>
      <c r="B29" s="27">
        <f>D112*B35</f>
        <v>137400.00000000003</v>
      </c>
      <c r="C29" s="27"/>
      <c r="D29" s="27"/>
      <c r="E29" s="32">
        <f>E23</f>
        <v>98750</v>
      </c>
      <c r="F29" s="28">
        <f>B35*B55*5+D55*B35</f>
        <v>65114.285714285717</v>
      </c>
      <c r="G29" s="28">
        <f t="shared" si="5"/>
        <v>742424.2</v>
      </c>
      <c r="H29" s="28">
        <f>C70*B35</f>
        <v>360000</v>
      </c>
      <c r="I29" s="28">
        <f>(E133+F133+H133+K133+G55+J55)/20000*B35</f>
        <v>33603</v>
      </c>
      <c r="J29" s="29">
        <f t="shared" si="6"/>
        <v>1437291.4857142856</v>
      </c>
    </row>
    <row r="30" spans="1:10" x14ac:dyDescent="0.25">
      <c r="A30" s="26" t="s">
        <v>45</v>
      </c>
      <c r="B30" s="27">
        <f>D113*B35</f>
        <v>68700.000000000015</v>
      </c>
      <c r="C30" s="27"/>
      <c r="D30" s="27"/>
      <c r="E30" s="27"/>
      <c r="F30" s="28">
        <f>B35*B56*5+D56*B35</f>
        <v>182857.14285714284</v>
      </c>
      <c r="G30" s="28">
        <f t="shared" si="5"/>
        <v>742424.2</v>
      </c>
      <c r="H30" s="28">
        <f>C71*B35</f>
        <v>360000</v>
      </c>
      <c r="I30" s="28">
        <f>(E134+F134+H134+K134+G56+J56)/20000*B35</f>
        <v>46521.33</v>
      </c>
      <c r="J30" s="29">
        <f t="shared" si="6"/>
        <v>1400502.672857143</v>
      </c>
    </row>
    <row r="31" spans="1:10" x14ac:dyDescent="0.25">
      <c r="A31" s="26" t="s">
        <v>46</v>
      </c>
      <c r="B31" s="27">
        <f>D114*B35</f>
        <v>41220.000000000007</v>
      </c>
      <c r="C31" s="27">
        <f>B35*3.6*8</f>
        <v>576000</v>
      </c>
      <c r="D31" s="27">
        <f>B35*C39*C36*0.6</f>
        <v>711000</v>
      </c>
      <c r="E31" s="27"/>
      <c r="F31" s="28">
        <f>B35*B57*5+D57*B35</f>
        <v>545000</v>
      </c>
      <c r="G31" s="28">
        <f t="shared" si="5"/>
        <v>593940.19999999995</v>
      </c>
      <c r="H31" s="28">
        <f>C72*B35</f>
        <v>300000</v>
      </c>
      <c r="I31" s="28">
        <f>(E135+F135+H135+K135+G57+J57)/20000*B35</f>
        <v>16404.84</v>
      </c>
      <c r="J31" s="29">
        <f t="shared" si="6"/>
        <v>2783565.04</v>
      </c>
    </row>
    <row r="32" spans="1:10" x14ac:dyDescent="0.25">
      <c r="A32" s="26" t="s">
        <v>47</v>
      </c>
      <c r="B32" s="27">
        <f>D115*B35</f>
        <v>0</v>
      </c>
      <c r="C32" s="27">
        <f>B35*3.6*8</f>
        <v>576000</v>
      </c>
      <c r="D32" s="27"/>
      <c r="E32" s="27"/>
      <c r="F32" s="28">
        <f>B35*B58*5+D58*B35</f>
        <v>800000</v>
      </c>
      <c r="G32" s="28">
        <f t="shared" si="5"/>
        <v>593940.19999999995</v>
      </c>
      <c r="H32" s="28">
        <f>C73*B35</f>
        <v>60000</v>
      </c>
      <c r="I32" s="28">
        <f>(E136+F136+H136+K136+G58+J58)/20000*B35</f>
        <v>0</v>
      </c>
      <c r="J32" s="29">
        <f t="shared" si="6"/>
        <v>2029940.2</v>
      </c>
    </row>
    <row r="33" spans="1:12" s="34" customFormat="1" x14ac:dyDescent="0.25">
      <c r="A33" s="26" t="s">
        <v>24</v>
      </c>
      <c r="B33" s="33">
        <f t="shared" ref="B33:I33" si="7">SUM(B21:B32)</f>
        <v>1497660.0000000002</v>
      </c>
      <c r="C33" s="33">
        <f t="shared" si="7"/>
        <v>1152000</v>
      </c>
      <c r="D33" s="33">
        <f t="shared" si="7"/>
        <v>711000</v>
      </c>
      <c r="E33" s="33">
        <f t="shared" si="7"/>
        <v>395000</v>
      </c>
      <c r="F33" s="33">
        <f t="shared" si="7"/>
        <v>3529871.4285714286</v>
      </c>
      <c r="G33" s="33">
        <f t="shared" si="7"/>
        <v>6978798.4000000013</v>
      </c>
      <c r="H33" s="29">
        <f t="shared" si="7"/>
        <v>2700000</v>
      </c>
      <c r="I33" s="29">
        <f t="shared" si="7"/>
        <v>918236.80999999994</v>
      </c>
      <c r="J33" s="29">
        <f>SUM(B33:I33)</f>
        <v>17882566.63857143</v>
      </c>
    </row>
    <row r="34" spans="1:12" x14ac:dyDescent="0.25">
      <c r="A34" s="35" t="s">
        <v>48</v>
      </c>
      <c r="B34" s="191">
        <f>B33/C36</f>
        <v>37915.443037974692</v>
      </c>
      <c r="C34" s="191">
        <f>C33/C36</f>
        <v>29164.556962025315</v>
      </c>
      <c r="D34" s="191">
        <f>D33/C36</f>
        <v>18000</v>
      </c>
      <c r="E34" s="191">
        <f>E33/C36</f>
        <v>10000</v>
      </c>
      <c r="F34" s="191">
        <f>F33/C36</f>
        <v>89363.833634719718</v>
      </c>
      <c r="G34" s="191">
        <f>G33/C36</f>
        <v>176678.44050632915</v>
      </c>
      <c r="H34" s="191">
        <f>H33/C36</f>
        <v>68354.430379746831</v>
      </c>
      <c r="I34" s="191">
        <f>I33/C36</f>
        <v>23246.501518987341</v>
      </c>
      <c r="J34" s="191">
        <f>J33/C36</f>
        <v>452723.20603978302</v>
      </c>
    </row>
    <row r="35" spans="1:12" ht="22.5" customHeight="1" x14ac:dyDescent="0.25">
      <c r="A35" s="37" t="s">
        <v>49</v>
      </c>
      <c r="B35" s="38">
        <v>20000</v>
      </c>
      <c r="C35" s="32"/>
      <c r="D35" s="32"/>
      <c r="E35" s="32"/>
      <c r="F35" s="32"/>
      <c r="G35" s="32"/>
      <c r="H35" s="32"/>
      <c r="I35" s="32"/>
      <c r="J35" s="32"/>
    </row>
    <row r="36" spans="1:12" ht="22.5" customHeight="1" x14ac:dyDescent="0.25">
      <c r="A36" s="236" t="s">
        <v>50</v>
      </c>
      <c r="B36" s="236"/>
      <c r="C36" s="39">
        <v>39.5</v>
      </c>
      <c r="D36" s="32"/>
      <c r="E36" s="32"/>
      <c r="F36" s="32"/>
      <c r="G36" s="32"/>
      <c r="H36" s="32"/>
      <c r="I36" s="32"/>
      <c r="J36" s="32"/>
    </row>
    <row r="37" spans="1:12" hidden="1" x14ac:dyDescent="0.25">
      <c r="A37" s="40" t="s">
        <v>51</v>
      </c>
      <c r="B37" s="41">
        <f>B33/B35</f>
        <v>74.88300000000001</v>
      </c>
    </row>
    <row r="38" spans="1:12" hidden="1" x14ac:dyDescent="0.25">
      <c r="A38" s="40" t="s">
        <v>52</v>
      </c>
      <c r="B38" s="42">
        <v>0.5</v>
      </c>
      <c r="C38" t="s">
        <v>25</v>
      </c>
      <c r="D38" s="42">
        <v>0.25</v>
      </c>
      <c r="E38" t="s">
        <v>25</v>
      </c>
      <c r="F38" t="s">
        <v>53</v>
      </c>
      <c r="G38" s="42">
        <f>B38+D38+J38</f>
        <v>1.01</v>
      </c>
      <c r="H38" t="s">
        <v>25</v>
      </c>
      <c r="I38" t="s">
        <v>54</v>
      </c>
      <c r="J38">
        <v>0.26</v>
      </c>
    </row>
    <row r="39" spans="1:12" hidden="1" x14ac:dyDescent="0.25">
      <c r="A39" s="43" t="s">
        <v>55</v>
      </c>
      <c r="B39" s="42"/>
      <c r="C39">
        <v>1.5</v>
      </c>
      <c r="D39" t="s">
        <v>56</v>
      </c>
    </row>
    <row r="40" spans="1:12" hidden="1" x14ac:dyDescent="0.25">
      <c r="A40" s="43" t="s">
        <v>57</v>
      </c>
      <c r="B40" s="42">
        <v>3.6</v>
      </c>
      <c r="C40" t="s">
        <v>58</v>
      </c>
    </row>
    <row r="41" spans="1:12" hidden="1" x14ac:dyDescent="0.25">
      <c r="A41" s="40" t="s">
        <v>59</v>
      </c>
      <c r="B41" s="44">
        <f>J86</f>
        <v>445.452</v>
      </c>
      <c r="C41" t="s">
        <v>60</v>
      </c>
      <c r="E41" s="236" t="s">
        <v>49</v>
      </c>
      <c r="F41" s="236"/>
      <c r="G41" s="45">
        <f>B35</f>
        <v>20000</v>
      </c>
    </row>
    <row r="42" spans="1:12" hidden="1" x14ac:dyDescent="0.25">
      <c r="A42" s="40" t="s">
        <v>61</v>
      </c>
      <c r="B42" s="42">
        <f>'[2]yazlık sera girdi maliyeti'!$D$9</f>
        <v>46.5</v>
      </c>
      <c r="C42" t="s">
        <v>60</v>
      </c>
    </row>
    <row r="43" spans="1:12" hidden="1" x14ac:dyDescent="0.25">
      <c r="A43" s="40" t="s">
        <v>62</v>
      </c>
      <c r="B43" s="42">
        <f>'[2]yazlık sera girdi maliyeti'!$D$10</f>
        <v>99</v>
      </c>
      <c r="C43" t="s">
        <v>60</v>
      </c>
      <c r="E43" s="237" t="s">
        <v>63</v>
      </c>
      <c r="F43" s="238"/>
      <c r="G43" s="46">
        <f>C15/B15</f>
        <v>19.869518487301583</v>
      </c>
    </row>
    <row r="44" spans="1:12" hidden="1" x14ac:dyDescent="0.25">
      <c r="A44" s="40" t="s">
        <v>64</v>
      </c>
      <c r="B44" s="47">
        <f>I33/B35</f>
        <v>45.911840499999997</v>
      </c>
      <c r="C44" t="s">
        <v>60</v>
      </c>
    </row>
    <row r="45" spans="1:12" hidden="1" x14ac:dyDescent="0.25">
      <c r="A45" s="40" t="s">
        <v>65</v>
      </c>
      <c r="B45">
        <v>6</v>
      </c>
      <c r="C45" t="s">
        <v>66</v>
      </c>
    </row>
    <row r="46" spans="1:12" ht="45" hidden="1" x14ac:dyDescent="0.25">
      <c r="A46" s="48" t="s">
        <v>67</v>
      </c>
      <c r="B46" s="49" t="s">
        <v>68</v>
      </c>
      <c r="C46" s="50" t="s">
        <v>180</v>
      </c>
      <c r="D46" s="50" t="s">
        <v>179</v>
      </c>
      <c r="E46" s="51" t="s">
        <v>70</v>
      </c>
      <c r="F46" s="52" t="s">
        <v>71</v>
      </c>
      <c r="G46" s="52" t="s">
        <v>72</v>
      </c>
      <c r="H46" s="52" t="s">
        <v>73</v>
      </c>
      <c r="I46" s="53" t="s">
        <v>74</v>
      </c>
      <c r="J46" s="54" t="s">
        <v>75</v>
      </c>
      <c r="K46" s="54"/>
      <c r="L46" s="54"/>
    </row>
    <row r="47" spans="1:12" hidden="1" x14ac:dyDescent="0.25">
      <c r="A47" s="48" t="s">
        <v>76</v>
      </c>
      <c r="B47" s="55">
        <f t="shared" ref="B47:B58" si="8">I47/7/20000</f>
        <v>0.8</v>
      </c>
      <c r="C47" s="56">
        <v>1.5</v>
      </c>
      <c r="D47" s="56">
        <f>C47*B45</f>
        <v>9</v>
      </c>
      <c r="E47" s="51" t="s">
        <v>77</v>
      </c>
      <c r="F47" s="57">
        <v>0</v>
      </c>
      <c r="G47" s="58">
        <v>44.88</v>
      </c>
      <c r="H47" s="58">
        <v>81931.94</v>
      </c>
      <c r="I47" s="59">
        <v>112000</v>
      </c>
      <c r="J47" s="60">
        <v>9820</v>
      </c>
      <c r="K47" s="61"/>
      <c r="L47" s="61"/>
    </row>
    <row r="48" spans="1:12" hidden="1" x14ac:dyDescent="0.25">
      <c r="A48" s="48" t="s">
        <v>78</v>
      </c>
      <c r="B48" s="55">
        <f t="shared" si="8"/>
        <v>0.8</v>
      </c>
      <c r="C48" s="56">
        <v>1.5</v>
      </c>
      <c r="D48" s="56">
        <f>C48*B45</f>
        <v>9</v>
      </c>
      <c r="E48" s="51" t="s">
        <v>79</v>
      </c>
      <c r="F48" s="57">
        <v>0</v>
      </c>
      <c r="G48" s="58">
        <v>320.16000000000003</v>
      </c>
      <c r="H48" s="58">
        <v>267100.03999999998</v>
      </c>
      <c r="I48" s="59">
        <v>112000</v>
      </c>
      <c r="J48" s="60">
        <v>9820</v>
      </c>
      <c r="K48" s="61"/>
      <c r="L48" s="61"/>
    </row>
    <row r="49" spans="1:12" hidden="1" x14ac:dyDescent="0.25">
      <c r="A49" s="48" t="s">
        <v>80</v>
      </c>
      <c r="B49" s="55">
        <f t="shared" si="8"/>
        <v>0.72857142857142854</v>
      </c>
      <c r="C49" s="56">
        <v>5</v>
      </c>
      <c r="D49" s="56">
        <f>C49*B45</f>
        <v>30</v>
      </c>
      <c r="E49" s="51" t="s">
        <v>81</v>
      </c>
      <c r="F49" s="57">
        <v>0</v>
      </c>
      <c r="G49" s="58">
        <v>3036</v>
      </c>
      <c r="H49" s="58">
        <v>8082.05</v>
      </c>
      <c r="I49" s="59">
        <v>102000</v>
      </c>
      <c r="J49" s="60">
        <v>9820</v>
      </c>
      <c r="K49" s="61"/>
      <c r="L49" s="61"/>
    </row>
    <row r="50" spans="1:12" hidden="1" x14ac:dyDescent="0.25">
      <c r="A50" s="48" t="s">
        <v>82</v>
      </c>
      <c r="B50" s="55">
        <f t="shared" si="8"/>
        <v>0.57142857142857151</v>
      </c>
      <c r="C50" s="56">
        <v>3</v>
      </c>
      <c r="D50" s="56">
        <f>C50*B45</f>
        <v>18</v>
      </c>
      <c r="E50" s="51" t="s">
        <v>83</v>
      </c>
      <c r="F50" s="57">
        <v>0</v>
      </c>
      <c r="G50" s="58">
        <v>4537.5</v>
      </c>
      <c r="H50" s="58">
        <v>159475.51999999999</v>
      </c>
      <c r="I50" s="59">
        <v>80000</v>
      </c>
      <c r="J50" s="60">
        <v>9820</v>
      </c>
      <c r="K50" s="61"/>
      <c r="L50" s="61"/>
    </row>
    <row r="51" spans="1:12" hidden="1" x14ac:dyDescent="0.25">
      <c r="A51" s="48" t="s">
        <v>84</v>
      </c>
      <c r="B51" s="55">
        <f t="shared" si="8"/>
        <v>0.50771428571428567</v>
      </c>
      <c r="C51" s="56">
        <v>1</v>
      </c>
      <c r="D51" s="56">
        <f>C51*B45</f>
        <v>6</v>
      </c>
      <c r="E51" s="51" t="s">
        <v>85</v>
      </c>
      <c r="F51" s="57">
        <v>36237.29</v>
      </c>
      <c r="G51" s="58">
        <v>7486.5</v>
      </c>
      <c r="H51" s="58">
        <v>45561.25</v>
      </c>
      <c r="I51" s="59">
        <v>71080</v>
      </c>
      <c r="J51" s="60">
        <v>10320</v>
      </c>
      <c r="K51" s="61"/>
      <c r="L51" s="61"/>
    </row>
    <row r="52" spans="1:12" hidden="1" x14ac:dyDescent="0.25">
      <c r="A52" s="48" t="s">
        <v>70</v>
      </c>
      <c r="B52" s="55">
        <f t="shared" si="8"/>
        <v>0.53214285714285714</v>
      </c>
      <c r="C52" s="56"/>
      <c r="D52" s="56">
        <f>C52*B45</f>
        <v>0</v>
      </c>
      <c r="E52" s="51" t="s">
        <v>86</v>
      </c>
      <c r="F52" s="57">
        <v>0</v>
      </c>
      <c r="G52" s="58">
        <v>11272.5</v>
      </c>
      <c r="H52" s="58">
        <v>9703.6299999999992</v>
      </c>
      <c r="I52" s="59">
        <v>74500</v>
      </c>
      <c r="J52" s="60">
        <v>10320</v>
      </c>
      <c r="K52" s="61"/>
      <c r="L52" s="61"/>
    </row>
    <row r="53" spans="1:12" hidden="1" x14ac:dyDescent="0.25">
      <c r="A53" s="48" t="s">
        <v>77</v>
      </c>
      <c r="B53" s="55">
        <f t="shared" si="8"/>
        <v>0.52914285714285714</v>
      </c>
      <c r="C53" s="56"/>
      <c r="D53" s="56">
        <f>C53*B45</f>
        <v>0</v>
      </c>
      <c r="E53" s="51" t="s">
        <v>76</v>
      </c>
      <c r="F53" s="57">
        <v>16666.669999999998</v>
      </c>
      <c r="G53" s="58">
        <v>15757.5</v>
      </c>
      <c r="H53" s="58">
        <v>0</v>
      </c>
      <c r="I53" s="59">
        <v>74080</v>
      </c>
      <c r="J53" s="60">
        <v>13750</v>
      </c>
      <c r="K53" s="61"/>
      <c r="L53" s="61"/>
    </row>
    <row r="54" spans="1:12" hidden="1" x14ac:dyDescent="0.25">
      <c r="A54" s="48" t="s">
        <v>79</v>
      </c>
      <c r="B54" s="55">
        <f t="shared" si="8"/>
        <v>0.5</v>
      </c>
      <c r="C54" s="56"/>
      <c r="D54" s="56">
        <f>C54*B45</f>
        <v>0</v>
      </c>
      <c r="E54" s="51" t="s">
        <v>78</v>
      </c>
      <c r="F54" s="62">
        <v>5000</v>
      </c>
      <c r="G54" s="58">
        <v>14619</v>
      </c>
      <c r="H54" s="63">
        <v>0</v>
      </c>
      <c r="I54" s="59">
        <v>70000</v>
      </c>
      <c r="J54" s="60">
        <v>13750</v>
      </c>
      <c r="K54" s="64"/>
      <c r="L54" s="61"/>
    </row>
    <row r="55" spans="1:12" hidden="1" x14ac:dyDescent="0.25">
      <c r="A55" s="48" t="s">
        <v>81</v>
      </c>
      <c r="B55" s="55">
        <f t="shared" si="8"/>
        <v>0.65114285714285713</v>
      </c>
      <c r="C55" s="56"/>
      <c r="D55" s="56">
        <f>C55*B45</f>
        <v>0</v>
      </c>
      <c r="E55" s="51" t="s">
        <v>80</v>
      </c>
      <c r="F55" s="58">
        <v>7500</v>
      </c>
      <c r="G55" s="58">
        <v>4612.5</v>
      </c>
      <c r="H55" s="58">
        <v>0</v>
      </c>
      <c r="I55" s="59">
        <v>91160</v>
      </c>
      <c r="J55" s="60">
        <v>1000</v>
      </c>
      <c r="K55" s="61"/>
      <c r="L55" s="61"/>
    </row>
    <row r="56" spans="1:12" hidden="1" x14ac:dyDescent="0.25">
      <c r="A56" s="48" t="s">
        <v>83</v>
      </c>
      <c r="B56" s="55">
        <f t="shared" si="8"/>
        <v>0.62857142857142856</v>
      </c>
      <c r="C56" s="56">
        <v>1</v>
      </c>
      <c r="D56" s="56">
        <f>C56*B45</f>
        <v>6</v>
      </c>
      <c r="E56" s="51" t="s">
        <v>82</v>
      </c>
      <c r="F56" s="58"/>
      <c r="G56" s="58">
        <v>6298.5</v>
      </c>
      <c r="H56" s="58"/>
      <c r="I56" s="59">
        <v>88000</v>
      </c>
      <c r="J56" s="60">
        <v>8350</v>
      </c>
      <c r="K56" s="61"/>
      <c r="L56" s="61"/>
    </row>
    <row r="57" spans="1:12" hidden="1" x14ac:dyDescent="0.25">
      <c r="A57" s="48" t="s">
        <v>85</v>
      </c>
      <c r="B57" s="55">
        <f t="shared" si="8"/>
        <v>0.65</v>
      </c>
      <c r="C57" s="56">
        <v>4</v>
      </c>
      <c r="D57" s="56">
        <f>C57*B45</f>
        <v>24</v>
      </c>
      <c r="E57" s="51" t="s">
        <v>84</v>
      </c>
      <c r="F57" s="58"/>
      <c r="G57" s="58"/>
      <c r="H57" s="58"/>
      <c r="I57" s="59">
        <v>91000</v>
      </c>
      <c r="J57" s="60"/>
      <c r="K57" s="61"/>
      <c r="L57" s="61"/>
    </row>
    <row r="58" spans="1:12" hidden="1" x14ac:dyDescent="0.25">
      <c r="A58" s="48" t="s">
        <v>86</v>
      </c>
      <c r="B58" s="55">
        <f t="shared" si="8"/>
        <v>0.8</v>
      </c>
      <c r="C58" s="56">
        <v>6</v>
      </c>
      <c r="D58" s="56">
        <f>C58*B45</f>
        <v>36</v>
      </c>
      <c r="E58" s="51" t="s">
        <v>70</v>
      </c>
      <c r="F58" s="58"/>
      <c r="G58" s="58"/>
      <c r="H58" s="58"/>
      <c r="I58" s="59">
        <v>112000</v>
      </c>
      <c r="J58" s="60"/>
      <c r="K58" s="61"/>
      <c r="L58" s="61"/>
    </row>
    <row r="59" spans="1:12" hidden="1" x14ac:dyDescent="0.25">
      <c r="A59" s="48" t="s">
        <v>87</v>
      </c>
      <c r="B59" s="65">
        <f>SUM(B47:B58)</f>
        <v>7.6987142857142858</v>
      </c>
      <c r="C59" s="66">
        <f>SUM(C47:C58)</f>
        <v>23</v>
      </c>
      <c r="D59" s="66">
        <f>SUM(D47:D58)</f>
        <v>138</v>
      </c>
      <c r="E59" s="51" t="s">
        <v>77</v>
      </c>
      <c r="F59" s="67">
        <f>SUM(F47:F58)</f>
        <v>65403.96</v>
      </c>
      <c r="G59" s="67">
        <f>SUM(G47:G58)</f>
        <v>67985.040000000008</v>
      </c>
      <c r="H59" s="67">
        <f>SUM(H47:H58)</f>
        <v>571854.42999999993</v>
      </c>
      <c r="I59" s="68">
        <f>SUM(I47:I58)</f>
        <v>1077820</v>
      </c>
      <c r="J59" s="69">
        <f>SUM(J47:J58)</f>
        <v>96770</v>
      </c>
      <c r="K59" s="69"/>
      <c r="L59" s="69"/>
    </row>
    <row r="60" spans="1:12" hidden="1" x14ac:dyDescent="0.25">
      <c r="E60" s="51" t="s">
        <v>79</v>
      </c>
      <c r="F60" s="12"/>
      <c r="G60" s="12"/>
      <c r="H60" s="12"/>
    </row>
    <row r="61" spans="1:12" hidden="1" x14ac:dyDescent="0.25">
      <c r="A61" s="70" t="s">
        <v>88</v>
      </c>
      <c r="B61" s="71" t="s">
        <v>89</v>
      </c>
      <c r="C61" s="71" t="s">
        <v>90</v>
      </c>
      <c r="E61" s="51" t="s">
        <v>85</v>
      </c>
      <c r="F61" s="12"/>
      <c r="G61" s="12"/>
      <c r="H61" s="12"/>
    </row>
    <row r="62" spans="1:12" hidden="1" x14ac:dyDescent="0.25">
      <c r="A62" s="72" t="s">
        <v>76</v>
      </c>
      <c r="B62" s="73">
        <f>H65</f>
        <v>0</v>
      </c>
      <c r="C62" s="73">
        <f>(B62/5)*15</f>
        <v>0</v>
      </c>
      <c r="E62" s="51" t="s">
        <v>86</v>
      </c>
      <c r="F62" s="12"/>
      <c r="G62" s="12"/>
      <c r="H62" s="12"/>
    </row>
    <row r="63" spans="1:12" hidden="1" x14ac:dyDescent="0.25">
      <c r="A63" s="72" t="s">
        <v>78</v>
      </c>
      <c r="B63" s="73">
        <f t="shared" ref="B63:B73" si="9">H66</f>
        <v>0</v>
      </c>
      <c r="C63" s="73">
        <f t="shared" ref="C63:C73" si="10">(B63/5)*15</f>
        <v>0</v>
      </c>
      <c r="E63" s="239" t="s">
        <v>91</v>
      </c>
      <c r="F63" s="239"/>
      <c r="G63" s="239"/>
      <c r="H63" s="239"/>
    </row>
    <row r="64" spans="1:12" hidden="1" x14ac:dyDescent="0.25">
      <c r="A64" s="72" t="s">
        <v>80</v>
      </c>
      <c r="B64" s="73">
        <f t="shared" si="9"/>
        <v>0</v>
      </c>
      <c r="C64" s="73">
        <f t="shared" si="10"/>
        <v>0</v>
      </c>
      <c r="E64" s="74" t="s">
        <v>92</v>
      </c>
      <c r="F64" s="74" t="s">
        <v>93</v>
      </c>
      <c r="G64" s="74" t="s">
        <v>59</v>
      </c>
      <c r="H64" s="74" t="s">
        <v>89</v>
      </c>
    </row>
    <row r="65" spans="1:10" hidden="1" x14ac:dyDescent="0.25">
      <c r="A65" s="72" t="s">
        <v>82</v>
      </c>
      <c r="B65" s="73">
        <f t="shared" si="9"/>
        <v>0</v>
      </c>
      <c r="C65" s="73">
        <f t="shared" si="10"/>
        <v>0</v>
      </c>
      <c r="E65" s="157" t="s">
        <v>76</v>
      </c>
      <c r="F65" s="76">
        <v>409653.12</v>
      </c>
      <c r="G65" s="76">
        <v>565738.01</v>
      </c>
      <c r="H65" s="77">
        <f>'[1]gelir tablosu'!P4</f>
        <v>0</v>
      </c>
    </row>
    <row r="66" spans="1:10" hidden="1" x14ac:dyDescent="0.25">
      <c r="A66" s="72" t="s">
        <v>84</v>
      </c>
      <c r="B66" s="73">
        <f t="shared" si="9"/>
        <v>1</v>
      </c>
      <c r="C66" s="73">
        <f t="shared" si="10"/>
        <v>3</v>
      </c>
      <c r="E66" s="157" t="s">
        <v>78</v>
      </c>
      <c r="F66" s="76">
        <v>1018952.66</v>
      </c>
      <c r="G66" s="76">
        <v>537241.37</v>
      </c>
      <c r="H66" s="77">
        <f>'[1]gelir tablosu'!P5</f>
        <v>0</v>
      </c>
    </row>
    <row r="67" spans="1:10" hidden="1" x14ac:dyDescent="0.25">
      <c r="A67" s="72" t="s">
        <v>70</v>
      </c>
      <c r="B67" s="73">
        <f t="shared" si="9"/>
        <v>6</v>
      </c>
      <c r="C67" s="73">
        <f t="shared" si="10"/>
        <v>18</v>
      </c>
      <c r="E67" s="157" t="s">
        <v>80</v>
      </c>
      <c r="F67" s="76">
        <v>778246.96</v>
      </c>
      <c r="G67" s="76">
        <v>683371.87</v>
      </c>
      <c r="H67" s="77">
        <v>0</v>
      </c>
    </row>
    <row r="68" spans="1:10" hidden="1" x14ac:dyDescent="0.25">
      <c r="A68" s="72" t="s">
        <v>77</v>
      </c>
      <c r="B68" s="73">
        <f t="shared" si="9"/>
        <v>10</v>
      </c>
      <c r="C68" s="73">
        <f t="shared" si="10"/>
        <v>30</v>
      </c>
      <c r="E68" s="157" t="s">
        <v>82</v>
      </c>
      <c r="F68" s="76">
        <v>583161.81000000006</v>
      </c>
      <c r="G68" s="76">
        <v>782201.05</v>
      </c>
      <c r="H68" s="77">
        <v>0</v>
      </c>
    </row>
    <row r="69" spans="1:10" hidden="1" x14ac:dyDescent="0.25">
      <c r="A69" s="72" t="s">
        <v>79</v>
      </c>
      <c r="B69" s="73">
        <f t="shared" si="9"/>
        <v>10</v>
      </c>
      <c r="C69" s="73">
        <f t="shared" si="10"/>
        <v>30</v>
      </c>
      <c r="E69" s="157" t="s">
        <v>84</v>
      </c>
      <c r="F69" s="76">
        <v>494190.36</v>
      </c>
      <c r="G69" s="76">
        <v>777478.44</v>
      </c>
      <c r="H69" s="77">
        <v>1</v>
      </c>
    </row>
    <row r="70" spans="1:10" hidden="1" x14ac:dyDescent="0.25">
      <c r="A70" s="72" t="s">
        <v>81</v>
      </c>
      <c r="B70" s="73">
        <f t="shared" si="9"/>
        <v>6</v>
      </c>
      <c r="C70" s="73">
        <f t="shared" si="10"/>
        <v>18</v>
      </c>
      <c r="E70" s="157" t="s">
        <v>70</v>
      </c>
      <c r="F70" s="76">
        <v>292990.06</v>
      </c>
      <c r="G70" s="76">
        <v>730669.84</v>
      </c>
      <c r="H70" s="77">
        <v>6</v>
      </c>
    </row>
    <row r="71" spans="1:10" hidden="1" x14ac:dyDescent="0.25">
      <c r="A71" s="72" t="s">
        <v>83</v>
      </c>
      <c r="B71" s="73">
        <f t="shared" si="9"/>
        <v>6</v>
      </c>
      <c r="C71" s="73">
        <f t="shared" si="10"/>
        <v>18</v>
      </c>
      <c r="E71" s="157" t="s">
        <v>77</v>
      </c>
      <c r="F71" s="76">
        <v>692304.15</v>
      </c>
      <c r="G71" s="76">
        <v>774618.11</v>
      </c>
      <c r="H71" s="77">
        <v>10</v>
      </c>
    </row>
    <row r="72" spans="1:10" hidden="1" x14ac:dyDescent="0.25">
      <c r="A72" s="72" t="s">
        <v>85</v>
      </c>
      <c r="B72" s="73">
        <f t="shared" si="9"/>
        <v>5</v>
      </c>
      <c r="C72" s="73">
        <f t="shared" si="10"/>
        <v>15</v>
      </c>
      <c r="E72" s="157" t="s">
        <v>79</v>
      </c>
      <c r="F72" s="76">
        <v>1216385.3600000001</v>
      </c>
      <c r="G72" s="76">
        <v>769946</v>
      </c>
      <c r="H72" s="77">
        <v>10</v>
      </c>
    </row>
    <row r="73" spans="1:10" hidden="1" x14ac:dyDescent="0.25">
      <c r="A73" s="72" t="s">
        <v>86</v>
      </c>
      <c r="B73" s="73">
        <f t="shared" si="9"/>
        <v>1</v>
      </c>
      <c r="C73" s="73">
        <f t="shared" si="10"/>
        <v>3</v>
      </c>
      <c r="E73" s="157" t="s">
        <v>81</v>
      </c>
      <c r="F73" s="76">
        <v>269760.64000000001</v>
      </c>
      <c r="G73" s="76">
        <v>649655</v>
      </c>
      <c r="H73" s="77">
        <v>6</v>
      </c>
    </row>
    <row r="74" spans="1:10" hidden="1" x14ac:dyDescent="0.25">
      <c r="A74" s="72" t="s">
        <v>94</v>
      </c>
      <c r="B74" s="78">
        <f>SUM(B62:B73)</f>
        <v>45</v>
      </c>
      <c r="C74" s="78">
        <f>SUM(C62:C73)</f>
        <v>135</v>
      </c>
      <c r="E74" s="157" t="s">
        <v>83</v>
      </c>
      <c r="F74" s="76">
        <v>193490.33</v>
      </c>
      <c r="G74" s="76">
        <v>662479</v>
      </c>
      <c r="H74" s="77">
        <v>6</v>
      </c>
    </row>
    <row r="75" spans="1:10" hidden="1" x14ac:dyDescent="0.25">
      <c r="A75" s="79"/>
      <c r="B75" s="80"/>
      <c r="C75" s="80"/>
      <c r="E75" s="157" t="s">
        <v>85</v>
      </c>
      <c r="F75" s="76">
        <v>232195</v>
      </c>
      <c r="G75" s="76">
        <v>422510</v>
      </c>
      <c r="H75" s="77">
        <v>5</v>
      </c>
    </row>
    <row r="76" spans="1:10" hidden="1" x14ac:dyDescent="0.25">
      <c r="A76" s="79"/>
      <c r="B76" s="80"/>
      <c r="C76" s="80"/>
      <c r="E76" s="157" t="s">
        <v>86</v>
      </c>
      <c r="F76" s="77"/>
      <c r="G76" s="77"/>
      <c r="H76" s="77">
        <v>1</v>
      </c>
    </row>
    <row r="77" spans="1:10" hidden="1" x14ac:dyDescent="0.25">
      <c r="A77" s="79"/>
      <c r="B77" s="80"/>
      <c r="C77" s="80"/>
      <c r="E77" s="81" t="s">
        <v>94</v>
      </c>
      <c r="F77" s="82">
        <f>SUM(F65:F76)</f>
        <v>6181330.4500000002</v>
      </c>
      <c r="G77" s="82">
        <f>SUM(G65:G76)</f>
        <v>7355908.6899999995</v>
      </c>
      <c r="H77" s="83">
        <f>SUM(H65:H76)</f>
        <v>45</v>
      </c>
    </row>
    <row r="78" spans="1:10" hidden="1" x14ac:dyDescent="0.25">
      <c r="E78" s="81" t="s">
        <v>48</v>
      </c>
      <c r="F78" s="84">
        <f>F77/C36/20000</f>
        <v>7.8244689240506329</v>
      </c>
      <c r="G78" s="84">
        <f>G77/C36/20000</f>
        <v>9.3112768227848086</v>
      </c>
      <c r="H78" s="83"/>
    </row>
    <row r="79" spans="1:10" ht="15.75" hidden="1" thickBot="1" x14ac:dyDescent="0.3">
      <c r="A79" s="85" t="s">
        <v>59</v>
      </c>
      <c r="B79" s="86"/>
      <c r="C79" s="86"/>
      <c r="D79" s="86"/>
      <c r="E79" s="86"/>
      <c r="F79" s="86"/>
      <c r="G79" s="86"/>
      <c r="H79" s="86"/>
      <c r="I79" s="86"/>
      <c r="J79" s="86"/>
    </row>
    <row r="80" spans="1:10" hidden="1" x14ac:dyDescent="0.25">
      <c r="A80" s="240" t="s">
        <v>95</v>
      </c>
      <c r="B80" s="241"/>
      <c r="C80" s="241"/>
      <c r="D80" s="241"/>
      <c r="E80" s="242"/>
      <c r="F80" s="240" t="s">
        <v>96</v>
      </c>
      <c r="G80" s="241"/>
      <c r="H80" s="241"/>
      <c r="I80" s="241"/>
      <c r="J80" s="241"/>
    </row>
    <row r="81" spans="1:10" hidden="1" x14ac:dyDescent="0.25">
      <c r="A81" s="87" t="s">
        <v>97</v>
      </c>
      <c r="B81" s="88">
        <v>30621</v>
      </c>
      <c r="C81" s="89" t="s">
        <v>98</v>
      </c>
      <c r="D81" s="90" t="s">
        <v>99</v>
      </c>
      <c r="E81" s="91">
        <v>6</v>
      </c>
      <c r="F81" s="87" t="s">
        <v>97</v>
      </c>
      <c r="G81" s="88">
        <v>30621</v>
      </c>
      <c r="H81" s="89" t="s">
        <v>98</v>
      </c>
      <c r="I81" s="90" t="s">
        <v>99</v>
      </c>
      <c r="J81" s="92">
        <v>6</v>
      </c>
    </row>
    <row r="82" spans="1:10" hidden="1" x14ac:dyDescent="0.25">
      <c r="A82" s="87" t="s">
        <v>100</v>
      </c>
      <c r="B82" s="88">
        <f>C82*D82</f>
        <v>3900</v>
      </c>
      <c r="C82" s="88">
        <v>150</v>
      </c>
      <c r="D82" s="88">
        <v>26</v>
      </c>
      <c r="E82" s="93" t="s">
        <v>101</v>
      </c>
      <c r="F82" s="87" t="s">
        <v>100</v>
      </c>
      <c r="G82" s="88">
        <f>H82*I82</f>
        <v>3900</v>
      </c>
      <c r="H82" s="88">
        <v>150</v>
      </c>
      <c r="I82" s="88">
        <v>26</v>
      </c>
      <c r="J82" s="94" t="s">
        <v>101</v>
      </c>
    </row>
    <row r="83" spans="1:10" hidden="1" x14ac:dyDescent="0.25">
      <c r="A83" s="87" t="s">
        <v>102</v>
      </c>
      <c r="B83" s="88">
        <f>C83*D83</f>
        <v>2600</v>
      </c>
      <c r="C83" s="88">
        <v>100</v>
      </c>
      <c r="D83" s="88">
        <v>26</v>
      </c>
      <c r="E83" s="93" t="s">
        <v>101</v>
      </c>
      <c r="F83" s="87" t="s">
        <v>102</v>
      </c>
      <c r="G83" s="88">
        <f>H83*I83</f>
        <v>2600</v>
      </c>
      <c r="H83" s="88">
        <v>100</v>
      </c>
      <c r="I83" s="88">
        <v>26</v>
      </c>
      <c r="J83" s="94" t="s">
        <v>101</v>
      </c>
    </row>
    <row r="84" spans="1:10" ht="15.75" hidden="1" thickBot="1" x14ac:dyDescent="0.3">
      <c r="A84" s="95" t="s">
        <v>94</v>
      </c>
      <c r="B84" s="96">
        <f>SUM(B81:B83)</f>
        <v>37121</v>
      </c>
      <c r="C84" s="97"/>
      <c r="D84" s="97"/>
      <c r="E84" s="98"/>
      <c r="F84" s="95" t="s">
        <v>94</v>
      </c>
      <c r="G84" s="99">
        <f>SUM(G81:G83)</f>
        <v>37121</v>
      </c>
      <c r="H84" s="100"/>
      <c r="I84" s="100"/>
      <c r="J84" s="101"/>
    </row>
    <row r="85" spans="1:10" ht="15.75" hidden="1" thickBot="1" x14ac:dyDescent="0.3">
      <c r="A85" s="226" t="s">
        <v>103</v>
      </c>
      <c r="B85" s="227"/>
      <c r="C85" s="227"/>
      <c r="D85" s="227"/>
      <c r="E85" s="102">
        <f>B84/1000*E81</f>
        <v>222.726</v>
      </c>
      <c r="F85" s="103">
        <f>((B84*E81)+(J81*G84))/12</f>
        <v>37121</v>
      </c>
      <c r="G85" s="228" t="s">
        <v>103</v>
      </c>
      <c r="H85" s="228"/>
      <c r="I85" s="228"/>
      <c r="J85" s="104">
        <f>G84/1000*J81</f>
        <v>222.726</v>
      </c>
    </row>
    <row r="86" spans="1:10" hidden="1" x14ac:dyDescent="0.25">
      <c r="A86" s="229" t="s">
        <v>104</v>
      </c>
      <c r="B86" s="230"/>
      <c r="C86" s="230"/>
      <c r="D86" s="230"/>
      <c r="E86" s="230"/>
      <c r="F86" s="230"/>
      <c r="G86" s="230"/>
      <c r="H86" s="230"/>
      <c r="I86" s="230"/>
      <c r="J86" s="105">
        <f>E85+J85</f>
        <v>445.452</v>
      </c>
    </row>
    <row r="87" spans="1:10" hidden="1" x14ac:dyDescent="0.25">
      <c r="F87" s="106" t="s">
        <v>92</v>
      </c>
      <c r="G87" s="107" t="s">
        <v>105</v>
      </c>
      <c r="H87" s="106" t="s">
        <v>106</v>
      </c>
      <c r="I87" s="108" t="s">
        <v>107</v>
      </c>
    </row>
    <row r="88" spans="1:10" hidden="1" x14ac:dyDescent="0.25">
      <c r="A88" s="34" t="s">
        <v>108</v>
      </c>
      <c r="C88" s="109">
        <v>45587</v>
      </c>
      <c r="F88" s="110" t="s">
        <v>76</v>
      </c>
      <c r="G88" s="111">
        <f>(B35/1000)*0.1</f>
        <v>2</v>
      </c>
      <c r="H88" s="112">
        <f>B84*G88</f>
        <v>74242</v>
      </c>
      <c r="I88">
        <f>'[1]kışlık desen'!N92</f>
        <v>4.2</v>
      </c>
    </row>
    <row r="89" spans="1:10" hidden="1" x14ac:dyDescent="0.25">
      <c r="A89" s="113"/>
      <c r="B89" s="113" t="s">
        <v>109</v>
      </c>
      <c r="C89" s="113" t="s">
        <v>66</v>
      </c>
      <c r="D89" s="113" t="s">
        <v>66</v>
      </c>
      <c r="E89" s="114" t="s">
        <v>110</v>
      </c>
      <c r="F89" s="110" t="s">
        <v>78</v>
      </c>
      <c r="G89" s="111">
        <f>(B35/1000)*0.1</f>
        <v>2</v>
      </c>
      <c r="H89" s="112">
        <f>B84*G89</f>
        <v>74242</v>
      </c>
      <c r="I89">
        <f>'[1]kışlık desen'!N93</f>
        <v>4.2</v>
      </c>
      <c r="J89" t="s">
        <v>111</v>
      </c>
    </row>
    <row r="90" spans="1:10" hidden="1" x14ac:dyDescent="0.25">
      <c r="A90" s="113" t="s">
        <v>112</v>
      </c>
      <c r="B90" s="115">
        <v>125</v>
      </c>
      <c r="C90" s="115">
        <v>10</v>
      </c>
      <c r="D90" s="113">
        <f>C90</f>
        <v>10</v>
      </c>
      <c r="E90">
        <v>10</v>
      </c>
      <c r="F90" s="110" t="s">
        <v>80</v>
      </c>
      <c r="G90" s="111">
        <f>(B35/1000)*0.5</f>
        <v>10</v>
      </c>
      <c r="H90" s="112">
        <f>B84*G90</f>
        <v>371210</v>
      </c>
      <c r="I90">
        <f>'[1]kışlık desen'!N94</f>
        <v>4.2</v>
      </c>
    </row>
    <row r="91" spans="1:10" hidden="1" x14ac:dyDescent="0.25">
      <c r="A91" s="113" t="s">
        <v>113</v>
      </c>
      <c r="B91" s="115">
        <v>3</v>
      </c>
      <c r="C91" s="115">
        <v>140</v>
      </c>
      <c r="D91" s="113">
        <f t="shared" ref="D91:D96" si="11">C91</f>
        <v>140</v>
      </c>
      <c r="E91">
        <v>138</v>
      </c>
      <c r="F91" s="110" t="s">
        <v>82</v>
      </c>
      <c r="G91" s="111">
        <f>B35/1000*0.5</f>
        <v>10</v>
      </c>
      <c r="H91" s="112">
        <f>B84*G91</f>
        <v>371210</v>
      </c>
      <c r="I91">
        <f>'[1]kışlık desen'!N95</f>
        <v>4.2</v>
      </c>
    </row>
    <row r="92" spans="1:10" hidden="1" x14ac:dyDescent="0.25">
      <c r="A92" s="113" t="s">
        <v>114</v>
      </c>
      <c r="B92" s="115">
        <v>25</v>
      </c>
      <c r="C92" s="115">
        <v>40</v>
      </c>
      <c r="D92" s="113">
        <f t="shared" si="11"/>
        <v>40</v>
      </c>
      <c r="F92" s="110" t="s">
        <v>84</v>
      </c>
      <c r="G92" s="111">
        <f>B35/1000</f>
        <v>20</v>
      </c>
      <c r="H92" s="112">
        <f>B84*G92</f>
        <v>742420</v>
      </c>
      <c r="I92">
        <f>'[1]kışlık desen'!N96</f>
        <v>4.2</v>
      </c>
    </row>
    <row r="93" spans="1:10" hidden="1" x14ac:dyDescent="0.25">
      <c r="A93" s="113" t="s">
        <v>115</v>
      </c>
      <c r="B93" s="115">
        <v>25</v>
      </c>
      <c r="C93" s="115">
        <v>50</v>
      </c>
      <c r="D93" s="113">
        <f t="shared" si="11"/>
        <v>50</v>
      </c>
      <c r="F93" s="110" t="s">
        <v>70</v>
      </c>
      <c r="G93" s="111">
        <f>(B35/1000)*1.2</f>
        <v>24</v>
      </c>
      <c r="H93" s="112">
        <f>B84*G93</f>
        <v>890904</v>
      </c>
      <c r="I93">
        <f>'[1]kışlık desen'!N97</f>
        <v>4.2</v>
      </c>
    </row>
    <row r="94" spans="1:10" hidden="1" x14ac:dyDescent="0.25">
      <c r="A94" s="113" t="s">
        <v>116</v>
      </c>
      <c r="B94" s="115">
        <v>50</v>
      </c>
      <c r="C94" s="115">
        <v>15</v>
      </c>
      <c r="D94" s="113">
        <f t="shared" si="11"/>
        <v>15</v>
      </c>
      <c r="F94" s="110" t="s">
        <v>77</v>
      </c>
      <c r="G94" s="111">
        <f>(B35/1000)*1.2</f>
        <v>24</v>
      </c>
      <c r="H94" s="112">
        <f>G84*G94</f>
        <v>890904</v>
      </c>
      <c r="I94">
        <f>'[1]kışlık desen'!N98</f>
        <v>4.2</v>
      </c>
    </row>
    <row r="95" spans="1:10" hidden="1" x14ac:dyDescent="0.25">
      <c r="A95" s="113" t="s">
        <v>117</v>
      </c>
      <c r="B95" s="115">
        <v>25</v>
      </c>
      <c r="C95" s="115">
        <v>80</v>
      </c>
      <c r="D95" s="113">
        <f t="shared" si="11"/>
        <v>80</v>
      </c>
      <c r="F95" s="110" t="s">
        <v>79</v>
      </c>
      <c r="G95" s="111">
        <f>(B35/1000)*1.2</f>
        <v>24</v>
      </c>
      <c r="H95" s="112">
        <f>G84*G95</f>
        <v>890904</v>
      </c>
      <c r="I95">
        <f>'[1]kışlık desen'!N99</f>
        <v>4.2</v>
      </c>
    </row>
    <row r="96" spans="1:10" hidden="1" x14ac:dyDescent="0.25">
      <c r="A96" s="113" t="s">
        <v>118</v>
      </c>
      <c r="B96" s="115">
        <v>20</v>
      </c>
      <c r="C96" s="115">
        <v>10</v>
      </c>
      <c r="D96" s="113">
        <f t="shared" si="11"/>
        <v>10</v>
      </c>
      <c r="E96">
        <v>8</v>
      </c>
      <c r="F96" s="110" t="s">
        <v>81</v>
      </c>
      <c r="G96" s="111">
        <f>B35/1000</f>
        <v>20</v>
      </c>
      <c r="H96" s="112">
        <f>G84*G96</f>
        <v>742420</v>
      </c>
      <c r="I96">
        <f>'[1]kışlık desen'!N100</f>
        <v>4.2</v>
      </c>
    </row>
    <row r="97" spans="1:9" hidden="1" x14ac:dyDescent="0.25">
      <c r="A97" s="113"/>
      <c r="B97" s="116" t="s">
        <v>119</v>
      </c>
      <c r="C97" s="116" t="s">
        <v>120</v>
      </c>
      <c r="D97" s="113" t="s">
        <v>121</v>
      </c>
      <c r="F97" s="110" t="s">
        <v>83</v>
      </c>
      <c r="G97" s="111">
        <f>B35/1000</f>
        <v>20</v>
      </c>
      <c r="H97" s="112">
        <f>G84*G97</f>
        <v>742420</v>
      </c>
      <c r="I97">
        <f>'[1]kışlık desen'!N101</f>
        <v>4.2</v>
      </c>
    </row>
    <row r="98" spans="1:9" hidden="1" x14ac:dyDescent="0.25">
      <c r="A98" s="113" t="s">
        <v>122</v>
      </c>
      <c r="B98" s="113">
        <f>((B116*B90)+(B116*B91))/10000</f>
        <v>1.3952</v>
      </c>
      <c r="C98" s="113"/>
      <c r="D98" s="117">
        <f>C104+C106+C108</f>
        <v>74.88300000000001</v>
      </c>
      <c r="F98" s="110" t="s">
        <v>85</v>
      </c>
      <c r="G98" s="111">
        <f>(B35/1000)*0.8</f>
        <v>16</v>
      </c>
      <c r="H98" s="112">
        <f>G84*G98</f>
        <v>593936</v>
      </c>
      <c r="I98">
        <f>'[1]kışlık desen'!N102</f>
        <v>4.2</v>
      </c>
    </row>
    <row r="99" spans="1:9" hidden="1" x14ac:dyDescent="0.25">
      <c r="A99" s="113" t="s">
        <v>123</v>
      </c>
      <c r="B99" s="118">
        <f>((B92+B93+B94+B95)*B116)/10000</f>
        <v>1.3625</v>
      </c>
      <c r="C99" s="113"/>
      <c r="D99" s="113"/>
      <c r="F99" s="110" t="s">
        <v>86</v>
      </c>
      <c r="G99" s="111">
        <f>(B35/1000)*0.8</f>
        <v>16</v>
      </c>
      <c r="H99" s="112">
        <f>G84*G99</f>
        <v>593936</v>
      </c>
      <c r="I99">
        <f>'[1]kışlık desen'!N103</f>
        <v>4.2</v>
      </c>
    </row>
    <row r="100" spans="1:9" hidden="1" x14ac:dyDescent="0.25">
      <c r="A100" s="113" t="s">
        <v>118</v>
      </c>
      <c r="B100" s="113">
        <f>B96*B116/10000</f>
        <v>0.218</v>
      </c>
      <c r="C100" s="113"/>
      <c r="D100" s="113"/>
      <c r="H100" s="119">
        <f>SUM(H88:H99)</f>
        <v>6978748</v>
      </c>
      <c r="I100" s="119">
        <f>SUM(I88:I99)</f>
        <v>50.400000000000013</v>
      </c>
    </row>
    <row r="101" spans="1:9" hidden="1" x14ac:dyDescent="0.25">
      <c r="A101" s="113"/>
      <c r="B101" s="113"/>
      <c r="C101" s="113"/>
      <c r="D101" s="113"/>
    </row>
    <row r="102" spans="1:9" hidden="1" x14ac:dyDescent="0.25">
      <c r="A102" s="231" t="s">
        <v>124</v>
      </c>
      <c r="B102" s="232"/>
      <c r="C102" s="233"/>
      <c r="D102" s="113"/>
    </row>
    <row r="103" spans="1:9" ht="26.25" hidden="1" x14ac:dyDescent="0.25">
      <c r="A103" s="120" t="s">
        <v>0</v>
      </c>
      <c r="B103" s="121" t="s">
        <v>125</v>
      </c>
      <c r="C103" s="120" t="s">
        <v>126</v>
      </c>
      <c r="D103" s="122" t="s">
        <v>127</v>
      </c>
    </row>
    <row r="104" spans="1:9" hidden="1" x14ac:dyDescent="0.25">
      <c r="A104" s="123" t="s">
        <v>36</v>
      </c>
      <c r="B104" s="113">
        <v>0</v>
      </c>
      <c r="C104" s="117">
        <f>((B90*B116*C90)+(B91*C91*B116))/10000</f>
        <v>18.202999999999999</v>
      </c>
      <c r="D104" s="124">
        <f>(C104+C106+C108)*(B104/B116)</f>
        <v>0</v>
      </c>
    </row>
    <row r="105" spans="1:9" hidden="1" x14ac:dyDescent="0.25">
      <c r="A105" s="123" t="s">
        <v>128</v>
      </c>
      <c r="B105" s="113">
        <v>0</v>
      </c>
      <c r="C105" s="120" t="s">
        <v>129</v>
      </c>
      <c r="D105" s="124">
        <f>(C104+C106+C108)*B105/B116</f>
        <v>0</v>
      </c>
    </row>
    <row r="106" spans="1:9" hidden="1" x14ac:dyDescent="0.25">
      <c r="A106" s="123" t="s">
        <v>130</v>
      </c>
      <c r="B106" s="113">
        <v>1</v>
      </c>
      <c r="C106" s="117">
        <f>((B92*B116*C92)+(B93*B116*C93)+(B94*B116*C94)+(B95*B116*C95))/10000</f>
        <v>54.5</v>
      </c>
      <c r="D106" s="124">
        <f>(C104+C106+C108)*B106/B116</f>
        <v>0.68700000000000006</v>
      </c>
    </row>
    <row r="107" spans="1:9" hidden="1" x14ac:dyDescent="0.25">
      <c r="A107" s="123" t="s">
        <v>39</v>
      </c>
      <c r="B107" s="113">
        <v>5</v>
      </c>
      <c r="C107" s="120" t="s">
        <v>131</v>
      </c>
      <c r="D107" s="124">
        <f>(C104+C106+C108)*B107/B116</f>
        <v>3.4350000000000005</v>
      </c>
    </row>
    <row r="108" spans="1:9" hidden="1" x14ac:dyDescent="0.25">
      <c r="A108" s="123" t="s">
        <v>40</v>
      </c>
      <c r="B108" s="113">
        <v>10</v>
      </c>
      <c r="C108" s="117">
        <f>B116*B96*C96/10000</f>
        <v>2.1800000000000002</v>
      </c>
      <c r="D108" s="124">
        <f>(C104+C106+C108)*B108/B116</f>
        <v>6.870000000000001</v>
      </c>
    </row>
    <row r="109" spans="1:9" hidden="1" x14ac:dyDescent="0.25">
      <c r="A109" s="123" t="s">
        <v>41</v>
      </c>
      <c r="B109" s="113">
        <v>15</v>
      </c>
      <c r="C109" s="113"/>
      <c r="D109" s="124">
        <f>(C104+C106+C108)*B109/B116</f>
        <v>10.305000000000001</v>
      </c>
    </row>
    <row r="110" spans="1:9" hidden="1" x14ac:dyDescent="0.25">
      <c r="A110" s="123" t="s">
        <v>42</v>
      </c>
      <c r="B110" s="113">
        <v>30</v>
      </c>
      <c r="C110" s="113"/>
      <c r="D110" s="124">
        <f>(C104+C106+C108)*B110/B116</f>
        <v>20.610000000000003</v>
      </c>
    </row>
    <row r="111" spans="1:9" hidden="1" x14ac:dyDescent="0.25">
      <c r="A111" s="123" t="s">
        <v>43</v>
      </c>
      <c r="B111" s="113">
        <v>30</v>
      </c>
      <c r="C111" s="113"/>
      <c r="D111" s="124">
        <f>(C104+C106+C108)*B111/B116</f>
        <v>20.610000000000003</v>
      </c>
    </row>
    <row r="112" spans="1:9" hidden="1" x14ac:dyDescent="0.25">
      <c r="A112" s="123" t="s">
        <v>44</v>
      </c>
      <c r="B112" s="113">
        <v>10</v>
      </c>
      <c r="C112" s="113"/>
      <c r="D112" s="124">
        <f>(C104+C106+C108)*B112/B116</f>
        <v>6.870000000000001</v>
      </c>
    </row>
    <row r="113" spans="1:11" hidden="1" x14ac:dyDescent="0.25">
      <c r="A113" s="123" t="s">
        <v>45</v>
      </c>
      <c r="B113" s="113">
        <v>5</v>
      </c>
      <c r="C113" s="113"/>
      <c r="D113" s="124">
        <f>(C104+C106+C108)*B113/B116</f>
        <v>3.4350000000000005</v>
      </c>
    </row>
    <row r="114" spans="1:11" hidden="1" x14ac:dyDescent="0.25">
      <c r="A114" s="123" t="s">
        <v>46</v>
      </c>
      <c r="B114" s="113">
        <v>3</v>
      </c>
      <c r="C114" s="113"/>
      <c r="D114" s="124">
        <f>(C104+C106+C108)*B114/B116</f>
        <v>2.0610000000000004</v>
      </c>
    </row>
    <row r="115" spans="1:11" hidden="1" x14ac:dyDescent="0.25">
      <c r="A115" s="123" t="s">
        <v>132</v>
      </c>
      <c r="B115" s="113">
        <v>0</v>
      </c>
      <c r="C115" s="113"/>
      <c r="D115" s="124">
        <f>(C104+C106+C108)*B115/B116</f>
        <v>0</v>
      </c>
    </row>
    <row r="116" spans="1:11" hidden="1" x14ac:dyDescent="0.25">
      <c r="A116" s="125" t="s">
        <v>133</v>
      </c>
      <c r="B116" s="126">
        <f>SUM(B104:B115)</f>
        <v>109</v>
      </c>
      <c r="C116" s="125"/>
      <c r="D116" s="127">
        <f>(C104+C106+C108)*B116/B116</f>
        <v>74.88300000000001</v>
      </c>
    </row>
    <row r="117" spans="1:11" hidden="1" x14ac:dyDescent="0.25">
      <c r="A117" s="128" t="s">
        <v>134</v>
      </c>
      <c r="B117" s="129">
        <f>B33/B35</f>
        <v>74.88300000000001</v>
      </c>
      <c r="C117" s="129">
        <f>C33/B35</f>
        <v>57.6</v>
      </c>
      <c r="D117" s="129">
        <f>D33/B35</f>
        <v>35.549999999999997</v>
      </c>
      <c r="E117" s="129">
        <f>E33/B35</f>
        <v>19.75</v>
      </c>
      <c r="F117" s="129">
        <f>F33/B35</f>
        <v>176.49357142857144</v>
      </c>
      <c r="G117" s="129">
        <f>G33/B35</f>
        <v>348.93992000000009</v>
      </c>
      <c r="H117" s="129">
        <f>H33/B35</f>
        <v>135</v>
      </c>
      <c r="I117" s="129">
        <f>I33/B35</f>
        <v>45.911840499999997</v>
      </c>
      <c r="J117" s="130">
        <f>J33/B35</f>
        <v>894.12833192857147</v>
      </c>
    </row>
    <row r="118" spans="1:11" hidden="1" x14ac:dyDescent="0.25">
      <c r="A118" s="128" t="s">
        <v>135</v>
      </c>
      <c r="B118" s="131">
        <f>B117/C36</f>
        <v>1.8957721518987345</v>
      </c>
      <c r="C118" s="131">
        <f>C117/C36</f>
        <v>1.4582278481012658</v>
      </c>
      <c r="D118" s="131">
        <f>D117/C36</f>
        <v>0.89999999999999991</v>
      </c>
      <c r="E118" s="131">
        <f>E117/C36</f>
        <v>0.5</v>
      </c>
      <c r="F118" s="131">
        <f>F117/C36</f>
        <v>4.4681916817359859</v>
      </c>
      <c r="G118" s="131">
        <f>G117/C36</f>
        <v>8.8339220253164576</v>
      </c>
      <c r="H118" s="131">
        <f>H117/C36</f>
        <v>3.4177215189873418</v>
      </c>
      <c r="I118" s="131">
        <f>I117/C36</f>
        <v>1.1623250759493671</v>
      </c>
      <c r="J118" s="132">
        <f>J117/C36</f>
        <v>22.63616030198915</v>
      </c>
    </row>
    <row r="119" spans="1:11" hidden="1" x14ac:dyDescent="0.25">
      <c r="A119" t="s">
        <v>136</v>
      </c>
    </row>
    <row r="120" spans="1:11" hidden="1" x14ac:dyDescent="0.25"/>
    <row r="121" spans="1:11" hidden="1" x14ac:dyDescent="0.25"/>
    <row r="122" spans="1:11" hidden="1" x14ac:dyDescent="0.25"/>
    <row r="123" spans="1:11" hidden="1" x14ac:dyDescent="0.25">
      <c r="A123" s="234" t="s">
        <v>137</v>
      </c>
      <c r="B123" s="234"/>
      <c r="C123" s="234"/>
    </row>
    <row r="124" spans="1:11" ht="60" hidden="1" x14ac:dyDescent="0.25">
      <c r="A124" s="133" t="s">
        <v>0</v>
      </c>
      <c r="B124" s="134" t="s">
        <v>33</v>
      </c>
      <c r="C124" s="133" t="s">
        <v>34</v>
      </c>
      <c r="D124" s="54" t="s">
        <v>138</v>
      </c>
      <c r="E124" s="54" t="s">
        <v>139</v>
      </c>
      <c r="F124" s="54" t="s">
        <v>140</v>
      </c>
      <c r="G124" s="54" t="s">
        <v>141</v>
      </c>
      <c r="H124" s="54" t="s">
        <v>142</v>
      </c>
      <c r="I124" s="54" t="s">
        <v>143</v>
      </c>
      <c r="J124" s="54" t="s">
        <v>144</v>
      </c>
      <c r="K124" s="54" t="s">
        <v>145</v>
      </c>
    </row>
    <row r="125" spans="1:11" hidden="1" x14ac:dyDescent="0.25">
      <c r="A125" s="135" t="s">
        <v>36</v>
      </c>
      <c r="B125" s="58">
        <v>0</v>
      </c>
      <c r="C125" s="136">
        <v>0</v>
      </c>
      <c r="D125" s="58">
        <v>1750</v>
      </c>
      <c r="E125" s="60">
        <v>900</v>
      </c>
      <c r="F125" s="60">
        <v>0</v>
      </c>
      <c r="G125" s="61">
        <v>24650</v>
      </c>
      <c r="H125" s="60">
        <v>0</v>
      </c>
      <c r="I125" s="58">
        <v>0</v>
      </c>
      <c r="J125" s="137">
        <v>38189</v>
      </c>
      <c r="K125" s="138">
        <v>89955.3</v>
      </c>
    </row>
    <row r="126" spans="1:11" hidden="1" x14ac:dyDescent="0.25">
      <c r="A126" s="135" t="s">
        <v>37</v>
      </c>
      <c r="B126" s="58">
        <v>231385.96</v>
      </c>
      <c r="C126" s="136">
        <v>0</v>
      </c>
      <c r="D126" s="58">
        <v>0</v>
      </c>
      <c r="E126" s="60">
        <v>0</v>
      </c>
      <c r="F126" s="60">
        <v>82000</v>
      </c>
      <c r="G126" s="61">
        <v>199960</v>
      </c>
      <c r="H126" s="60">
        <v>40550</v>
      </c>
      <c r="I126" s="58">
        <v>0</v>
      </c>
      <c r="J126" s="58">
        <v>30799</v>
      </c>
      <c r="K126" s="60">
        <v>17142.5</v>
      </c>
    </row>
    <row r="127" spans="1:11" hidden="1" x14ac:dyDescent="0.25">
      <c r="A127" s="135" t="s">
        <v>38</v>
      </c>
      <c r="B127" s="58">
        <v>0</v>
      </c>
      <c r="C127" s="136">
        <v>339318.95</v>
      </c>
      <c r="D127" s="58">
        <v>230745.99</v>
      </c>
      <c r="E127" s="60">
        <v>0</v>
      </c>
      <c r="F127" s="60">
        <v>45379.5</v>
      </c>
      <c r="G127" s="61">
        <v>590</v>
      </c>
      <c r="H127" s="60">
        <v>14504.27</v>
      </c>
      <c r="I127" s="58">
        <v>0</v>
      </c>
      <c r="J127" s="58">
        <v>26387</v>
      </c>
      <c r="K127" s="60">
        <v>7248.2</v>
      </c>
    </row>
    <row r="128" spans="1:11" hidden="1" x14ac:dyDescent="0.25">
      <c r="A128" s="135" t="s">
        <v>39</v>
      </c>
      <c r="B128" s="58">
        <v>190747.2</v>
      </c>
      <c r="C128" s="136">
        <v>4207.92</v>
      </c>
      <c r="D128" s="58">
        <v>101394.22</v>
      </c>
      <c r="E128" s="60">
        <v>3600</v>
      </c>
      <c r="F128" s="60">
        <v>0</v>
      </c>
      <c r="G128" s="61">
        <v>0</v>
      </c>
      <c r="H128" s="60">
        <v>16988.45</v>
      </c>
      <c r="I128" s="58">
        <v>0</v>
      </c>
      <c r="J128" s="58">
        <v>9628</v>
      </c>
      <c r="K128" s="60">
        <v>14683</v>
      </c>
    </row>
    <row r="129" spans="1:12" hidden="1" x14ac:dyDescent="0.25">
      <c r="A129" s="135" t="s">
        <v>40</v>
      </c>
      <c r="B129" s="58">
        <v>0</v>
      </c>
      <c r="C129" s="136">
        <v>6930.69</v>
      </c>
      <c r="D129" s="58">
        <v>153275.94</v>
      </c>
      <c r="E129" s="60">
        <v>0</v>
      </c>
      <c r="F129" s="60">
        <v>11950</v>
      </c>
      <c r="G129" s="61">
        <v>13991.81</v>
      </c>
      <c r="H129" s="60">
        <v>46898.29</v>
      </c>
      <c r="I129" s="58">
        <v>0</v>
      </c>
      <c r="J129" s="58">
        <v>41470</v>
      </c>
      <c r="K129" s="60">
        <v>40487.79</v>
      </c>
    </row>
    <row r="130" spans="1:12" hidden="1" x14ac:dyDescent="0.25">
      <c r="A130" s="135" t="s">
        <v>41</v>
      </c>
      <c r="B130" s="58">
        <v>0</v>
      </c>
      <c r="C130" s="136">
        <v>0</v>
      </c>
      <c r="D130" s="58">
        <v>14759.26</v>
      </c>
      <c r="E130" s="60">
        <v>0</v>
      </c>
      <c r="F130" s="60">
        <v>25555</v>
      </c>
      <c r="G130" s="61">
        <v>17850</v>
      </c>
      <c r="H130" s="60">
        <v>13286</v>
      </c>
      <c r="I130" s="58">
        <v>34567</v>
      </c>
      <c r="J130" s="58">
        <v>37823.17</v>
      </c>
      <c r="K130" s="60">
        <v>17773.5</v>
      </c>
    </row>
    <row r="131" spans="1:12" hidden="1" x14ac:dyDescent="0.25">
      <c r="A131" s="135" t="s">
        <v>42</v>
      </c>
      <c r="B131" s="58">
        <v>0</v>
      </c>
      <c r="C131" s="136">
        <v>10247.530000000001</v>
      </c>
      <c r="D131" s="58">
        <v>219868.55</v>
      </c>
      <c r="E131" s="60">
        <v>2414.65</v>
      </c>
      <c r="F131" s="60">
        <v>9456</v>
      </c>
      <c r="G131" s="61">
        <v>0</v>
      </c>
      <c r="H131" s="60">
        <v>201388.24</v>
      </c>
      <c r="I131" s="58">
        <v>25440</v>
      </c>
      <c r="J131" s="58">
        <v>67994.12</v>
      </c>
      <c r="K131" s="60">
        <v>35240.89</v>
      </c>
    </row>
    <row r="132" spans="1:12" hidden="1" x14ac:dyDescent="0.25">
      <c r="A132" s="135" t="s">
        <v>43</v>
      </c>
      <c r="B132" s="58">
        <v>0</v>
      </c>
      <c r="C132" s="136">
        <v>3564.36</v>
      </c>
      <c r="D132" s="58">
        <v>197717.27</v>
      </c>
      <c r="E132" s="138">
        <v>0</v>
      </c>
      <c r="F132" s="60">
        <v>15546</v>
      </c>
      <c r="G132" s="61">
        <v>18990</v>
      </c>
      <c r="H132" s="60">
        <v>64185</v>
      </c>
      <c r="I132" s="137">
        <v>635704</v>
      </c>
      <c r="J132" s="58">
        <v>74076.73</v>
      </c>
      <c r="K132" s="60">
        <v>7113</v>
      </c>
    </row>
    <row r="133" spans="1:12" hidden="1" x14ac:dyDescent="0.25">
      <c r="A133" s="135" t="s">
        <v>44</v>
      </c>
      <c r="B133" s="58">
        <v>0</v>
      </c>
      <c r="C133" s="136">
        <v>0</v>
      </c>
      <c r="D133" s="58">
        <v>64413.64</v>
      </c>
      <c r="E133" s="60">
        <v>0</v>
      </c>
      <c r="F133" s="60">
        <v>13162.5</v>
      </c>
      <c r="G133" s="61">
        <v>12500</v>
      </c>
      <c r="H133" s="60">
        <v>5000</v>
      </c>
      <c r="I133" s="58">
        <v>2680</v>
      </c>
      <c r="J133" s="58">
        <v>57904</v>
      </c>
      <c r="K133" s="60">
        <v>9828</v>
      </c>
    </row>
    <row r="134" spans="1:12" hidden="1" x14ac:dyDescent="0.25">
      <c r="A134" s="135" t="s">
        <v>45</v>
      </c>
      <c r="B134" s="58"/>
      <c r="C134" s="136"/>
      <c r="D134" s="58"/>
      <c r="E134" s="60"/>
      <c r="F134" s="60">
        <v>15812.49</v>
      </c>
      <c r="G134" s="61">
        <v>9583.33</v>
      </c>
      <c r="H134" s="60">
        <v>10585.2</v>
      </c>
      <c r="I134" s="58">
        <v>6566.67</v>
      </c>
      <c r="J134" s="58">
        <v>2819</v>
      </c>
      <c r="K134" s="60">
        <v>5475.14</v>
      </c>
    </row>
    <row r="135" spans="1:12" hidden="1" x14ac:dyDescent="0.25">
      <c r="A135" s="135" t="s">
        <v>46</v>
      </c>
      <c r="B135" s="58"/>
      <c r="C135" s="136"/>
      <c r="D135" s="58"/>
      <c r="E135" s="60"/>
      <c r="F135" s="60">
        <v>6552.13</v>
      </c>
      <c r="G135" s="61"/>
      <c r="H135" s="60">
        <v>6177.71</v>
      </c>
      <c r="I135" s="58">
        <v>158400</v>
      </c>
      <c r="J135" s="58">
        <v>480</v>
      </c>
      <c r="K135" s="60">
        <v>3675</v>
      </c>
    </row>
    <row r="136" spans="1:12" hidden="1" x14ac:dyDescent="0.25">
      <c r="A136" s="135" t="s">
        <v>132</v>
      </c>
      <c r="B136" s="58"/>
      <c r="C136" s="136"/>
      <c r="D136" s="58"/>
      <c r="E136" s="60"/>
      <c r="F136" s="60"/>
      <c r="G136" s="61"/>
      <c r="H136" s="60"/>
      <c r="I136" s="58"/>
      <c r="J136" s="58"/>
      <c r="K136" s="60"/>
    </row>
    <row r="137" spans="1:12" hidden="1" x14ac:dyDescent="0.25">
      <c r="A137" s="135" t="s">
        <v>24</v>
      </c>
      <c r="B137" s="69">
        <f t="shared" ref="B137:F137" si="12">SUM(B125:B136)</f>
        <v>422133.16000000003</v>
      </c>
      <c r="C137" s="139">
        <f>SUM(C125:C136)</f>
        <v>364269.45</v>
      </c>
      <c r="D137" s="69">
        <f>SUM(D125:D136)</f>
        <v>983924.87</v>
      </c>
      <c r="E137" s="69">
        <f t="shared" si="12"/>
        <v>6914.65</v>
      </c>
      <c r="F137" s="69">
        <f t="shared" si="12"/>
        <v>225413.62</v>
      </c>
      <c r="G137" s="69">
        <f>SUM(G125:G136)</f>
        <v>298115.14</v>
      </c>
      <c r="H137" s="69">
        <f>SUM(H125:H136)</f>
        <v>419563.16000000003</v>
      </c>
      <c r="I137" s="69">
        <f>SUM(I125:I136)</f>
        <v>863357.67</v>
      </c>
      <c r="J137" s="69">
        <f>SUM(J125:J136)</f>
        <v>387570.01999999996</v>
      </c>
      <c r="K137" s="69">
        <f>SUM(K125:K136)</f>
        <v>248622.32</v>
      </c>
    </row>
    <row r="138" spans="1:12" hidden="1" x14ac:dyDescent="0.25">
      <c r="A138" s="35" t="s">
        <v>48</v>
      </c>
      <c r="B138" s="36">
        <f>(B137/82000)*3.6/19.1</f>
        <v>0.97029713701953768</v>
      </c>
      <c r="C138" s="36">
        <f>(C137/13000)*0.6/19.1</f>
        <v>0.88023225936367289</v>
      </c>
      <c r="D138" s="140">
        <f>(D137/20000)/28.2</f>
        <v>1.7445476418439718</v>
      </c>
      <c r="E138" s="36">
        <f>E137/20000/28.2</f>
        <v>1.2260017730496455E-2</v>
      </c>
      <c r="F138" s="36">
        <f t="shared" ref="F138:K138" si="13">F137/20000/28.2</f>
        <v>0.39966953900709218</v>
      </c>
      <c r="G138" s="36">
        <f t="shared" si="13"/>
        <v>0.52857294326241144</v>
      </c>
      <c r="H138" s="36">
        <f t="shared" si="13"/>
        <v>0.74390631205673763</v>
      </c>
      <c r="I138" s="36">
        <f t="shared" si="13"/>
        <v>1.5307760106382979</v>
      </c>
      <c r="J138" s="36">
        <f t="shared" si="13"/>
        <v>0.68718088652482257</v>
      </c>
      <c r="K138" s="36">
        <f t="shared" si="13"/>
        <v>0.4408197163120568</v>
      </c>
      <c r="L138" s="141">
        <f>SUM(B138:K138)</f>
        <v>7.9382624637590977</v>
      </c>
    </row>
    <row r="143" spans="1:12" ht="30" hidden="1" customHeight="1" x14ac:dyDescent="0.25">
      <c r="A143" s="235" t="s">
        <v>0</v>
      </c>
      <c r="B143" s="235" t="s">
        <v>146</v>
      </c>
      <c r="C143" s="235"/>
      <c r="D143" s="235"/>
      <c r="E143" s="235"/>
      <c r="F143" s="220" t="s">
        <v>147</v>
      </c>
      <c r="G143" s="220" t="s">
        <v>148</v>
      </c>
      <c r="H143" s="220" t="s">
        <v>149</v>
      </c>
      <c r="I143" s="220" t="s">
        <v>150</v>
      </c>
      <c r="J143" s="220" t="s">
        <v>151</v>
      </c>
    </row>
    <row r="144" spans="1:12" hidden="1" x14ac:dyDescent="0.25">
      <c r="A144" s="235"/>
      <c r="B144" s="142" t="s">
        <v>32</v>
      </c>
      <c r="C144" s="142" t="s">
        <v>33</v>
      </c>
      <c r="D144" s="142" t="s">
        <v>34</v>
      </c>
      <c r="E144" s="142" t="s">
        <v>35</v>
      </c>
      <c r="F144" s="220"/>
      <c r="G144" s="220"/>
      <c r="H144" s="220"/>
      <c r="I144" s="220"/>
      <c r="J144" s="220"/>
    </row>
    <row r="145" spans="1:10" hidden="1" x14ac:dyDescent="0.25">
      <c r="A145" s="143" t="s">
        <v>36</v>
      </c>
      <c r="B145" s="144">
        <f t="shared" ref="B145:I156" si="14">B21/34.3</f>
        <v>0</v>
      </c>
      <c r="C145" s="144">
        <f t="shared" si="14"/>
        <v>0</v>
      </c>
      <c r="D145" s="144">
        <f t="shared" si="14"/>
        <v>0</v>
      </c>
      <c r="E145" s="144">
        <f t="shared" si="14"/>
        <v>0</v>
      </c>
      <c r="F145" s="144">
        <f t="shared" si="14"/>
        <v>7580.1749271137032</v>
      </c>
      <c r="G145" s="144">
        <f t="shared" si="14"/>
        <v>2164.6122448979595</v>
      </c>
      <c r="H145" s="144">
        <f t="shared" si="14"/>
        <v>0</v>
      </c>
      <c r="I145" s="144">
        <f t="shared" si="14"/>
        <v>0</v>
      </c>
      <c r="J145" s="144">
        <f t="shared" ref="J145:J156" si="15">SUM(B145:I145)</f>
        <v>9744.7871720116636</v>
      </c>
    </row>
    <row r="146" spans="1:10" hidden="1" x14ac:dyDescent="0.25">
      <c r="A146" s="143" t="s">
        <v>37</v>
      </c>
      <c r="B146" s="144">
        <f t="shared" si="14"/>
        <v>0</v>
      </c>
      <c r="C146" s="144">
        <f t="shared" si="14"/>
        <v>0</v>
      </c>
      <c r="D146" s="144">
        <f t="shared" si="14"/>
        <v>0</v>
      </c>
      <c r="E146" s="144">
        <f t="shared" si="14"/>
        <v>0</v>
      </c>
      <c r="F146" s="144">
        <f t="shared" si="14"/>
        <v>7580.1749271137032</v>
      </c>
      <c r="G146" s="144">
        <f t="shared" si="14"/>
        <v>2164.6122448979595</v>
      </c>
      <c r="H146" s="144">
        <f t="shared" si="14"/>
        <v>0</v>
      </c>
      <c r="I146" s="144">
        <f t="shared" si="14"/>
        <v>0</v>
      </c>
      <c r="J146" s="144">
        <f t="shared" si="15"/>
        <v>9744.7871720116636</v>
      </c>
    </row>
    <row r="147" spans="1:10" hidden="1" x14ac:dyDescent="0.25">
      <c r="A147" s="143" t="s">
        <v>38</v>
      </c>
      <c r="B147" s="144">
        <f t="shared" si="14"/>
        <v>400.58309037900881</v>
      </c>
      <c r="C147" s="144">
        <f t="shared" si="14"/>
        <v>0</v>
      </c>
      <c r="D147" s="144">
        <f t="shared" si="14"/>
        <v>0</v>
      </c>
      <c r="E147" s="144">
        <f t="shared" si="14"/>
        <v>2879.0087463556852</v>
      </c>
      <c r="F147" s="144">
        <f t="shared" si="14"/>
        <v>19616.826322365683</v>
      </c>
      <c r="G147" s="144">
        <f t="shared" si="14"/>
        <v>10822.571428571429</v>
      </c>
      <c r="H147" s="144">
        <f t="shared" si="14"/>
        <v>0</v>
      </c>
      <c r="I147" s="144">
        <f t="shared" si="14"/>
        <v>2332.010787172012</v>
      </c>
      <c r="J147" s="144">
        <f t="shared" si="15"/>
        <v>36051.000374843818</v>
      </c>
    </row>
    <row r="148" spans="1:10" hidden="1" x14ac:dyDescent="0.25">
      <c r="A148" s="143" t="s">
        <v>39</v>
      </c>
      <c r="B148" s="144">
        <f t="shared" si="14"/>
        <v>2002.9154518950443</v>
      </c>
      <c r="C148" s="144">
        <f t="shared" si="14"/>
        <v>0</v>
      </c>
      <c r="D148" s="144">
        <f t="shared" si="14"/>
        <v>0</v>
      </c>
      <c r="E148" s="144">
        <f t="shared" si="14"/>
        <v>2879.0087463556852</v>
      </c>
      <c r="F148" s="144">
        <f t="shared" si="14"/>
        <v>12161.599333610997</v>
      </c>
      <c r="G148" s="144">
        <f t="shared" si="14"/>
        <v>10822.571428571429</v>
      </c>
      <c r="H148" s="144">
        <f t="shared" si="14"/>
        <v>0</v>
      </c>
      <c r="I148" s="144">
        <f t="shared" si="14"/>
        <v>1446.9081632653063</v>
      </c>
      <c r="J148" s="144">
        <f t="shared" si="15"/>
        <v>29313.003123698461</v>
      </c>
    </row>
    <row r="149" spans="1:10" hidden="1" x14ac:dyDescent="0.25">
      <c r="A149" s="143" t="s">
        <v>40</v>
      </c>
      <c r="B149" s="144">
        <f t="shared" si="14"/>
        <v>4005.8309037900885</v>
      </c>
      <c r="C149" s="144">
        <f t="shared" si="14"/>
        <v>0</v>
      </c>
      <c r="D149" s="144">
        <f t="shared" si="14"/>
        <v>0</v>
      </c>
      <c r="E149" s="144">
        <f t="shared" si="14"/>
        <v>0</v>
      </c>
      <c r="F149" s="144">
        <f t="shared" si="14"/>
        <v>4978.7588504789674</v>
      </c>
      <c r="G149" s="144">
        <f t="shared" si="14"/>
        <v>21645.020408163266</v>
      </c>
      <c r="H149" s="144">
        <f t="shared" si="14"/>
        <v>1749.2711370262391</v>
      </c>
      <c r="I149" s="144">
        <f t="shared" si="14"/>
        <v>4553.6474246841599</v>
      </c>
      <c r="J149" s="144">
        <f t="shared" si="15"/>
        <v>36932.528724142721</v>
      </c>
    </row>
    <row r="150" spans="1:10" hidden="1" x14ac:dyDescent="0.25">
      <c r="A150" s="143" t="s">
        <v>41</v>
      </c>
      <c r="B150" s="144">
        <f t="shared" si="14"/>
        <v>6008.7463556851326</v>
      </c>
      <c r="C150" s="144">
        <f t="shared" si="14"/>
        <v>0</v>
      </c>
      <c r="D150" s="144">
        <f t="shared" si="14"/>
        <v>0</v>
      </c>
      <c r="E150" s="144">
        <f t="shared" si="14"/>
        <v>0</v>
      </c>
      <c r="F150" s="144">
        <f t="shared" si="14"/>
        <v>1551.4369012911288</v>
      </c>
      <c r="G150" s="144">
        <f t="shared" si="14"/>
        <v>25974</v>
      </c>
      <c r="H150" s="144">
        <f t="shared" si="14"/>
        <v>10495.626822157436</v>
      </c>
      <c r="I150" s="144">
        <f t="shared" si="14"/>
        <v>3040.1166180758019</v>
      </c>
      <c r="J150" s="144">
        <f t="shared" si="15"/>
        <v>47069.926697209499</v>
      </c>
    </row>
    <row r="151" spans="1:10" hidden="1" x14ac:dyDescent="0.25">
      <c r="A151" s="143" t="s">
        <v>42</v>
      </c>
      <c r="B151" s="144">
        <f t="shared" si="14"/>
        <v>12017.492711370265</v>
      </c>
      <c r="C151" s="144">
        <f t="shared" si="14"/>
        <v>0</v>
      </c>
      <c r="D151" s="144">
        <f t="shared" si="14"/>
        <v>0</v>
      </c>
      <c r="E151" s="144">
        <f t="shared" si="14"/>
        <v>2879.0087463556852</v>
      </c>
      <c r="F151" s="144">
        <f t="shared" si="14"/>
        <v>1542.6905456059976</v>
      </c>
      <c r="G151" s="144">
        <f t="shared" si="14"/>
        <v>25974</v>
      </c>
      <c r="H151" s="144">
        <f t="shared" si="14"/>
        <v>17492.711370262394</v>
      </c>
      <c r="I151" s="144">
        <f t="shared" si="14"/>
        <v>8105.1685131195336</v>
      </c>
      <c r="J151" s="144">
        <f t="shared" si="15"/>
        <v>68011.071886713878</v>
      </c>
    </row>
    <row r="152" spans="1:10" hidden="1" x14ac:dyDescent="0.25">
      <c r="A152" s="143" t="s">
        <v>43</v>
      </c>
      <c r="B152" s="144">
        <f t="shared" si="14"/>
        <v>12017.492711370265</v>
      </c>
      <c r="C152" s="144">
        <f t="shared" si="14"/>
        <v>0</v>
      </c>
      <c r="D152" s="144">
        <f t="shared" si="14"/>
        <v>0</v>
      </c>
      <c r="E152" s="144">
        <f t="shared" si="14"/>
        <v>0</v>
      </c>
      <c r="F152" s="144">
        <f t="shared" si="14"/>
        <v>1457.7259475218659</v>
      </c>
      <c r="G152" s="144">
        <f t="shared" si="14"/>
        <v>25974</v>
      </c>
      <c r="H152" s="144">
        <f t="shared" si="14"/>
        <v>17492.711370262394</v>
      </c>
      <c r="I152" s="144">
        <f t="shared" si="14"/>
        <v>4478.6394557823132</v>
      </c>
      <c r="J152" s="144">
        <f t="shared" si="15"/>
        <v>61420.569484936837</v>
      </c>
    </row>
    <row r="153" spans="1:10" hidden="1" x14ac:dyDescent="0.25">
      <c r="A153" s="143" t="s">
        <v>44</v>
      </c>
      <c r="B153" s="144">
        <f t="shared" si="14"/>
        <v>4005.8309037900885</v>
      </c>
      <c r="C153" s="144">
        <f t="shared" si="14"/>
        <v>0</v>
      </c>
      <c r="D153" s="144">
        <f t="shared" si="14"/>
        <v>0</v>
      </c>
      <c r="E153" s="144">
        <f t="shared" si="14"/>
        <v>2879.0087463556852</v>
      </c>
      <c r="F153" s="144">
        <f t="shared" si="14"/>
        <v>1898.3756768013329</v>
      </c>
      <c r="G153" s="144">
        <f t="shared" si="14"/>
        <v>21645.020408163266</v>
      </c>
      <c r="H153" s="144">
        <f t="shared" si="14"/>
        <v>10495.626822157436</v>
      </c>
      <c r="I153" s="144">
        <f t="shared" si="14"/>
        <v>979.67930029154525</v>
      </c>
      <c r="J153" s="144">
        <f t="shared" si="15"/>
        <v>41903.54185755935</v>
      </c>
    </row>
    <row r="154" spans="1:10" hidden="1" x14ac:dyDescent="0.25">
      <c r="A154" s="143" t="s">
        <v>45</v>
      </c>
      <c r="B154" s="144">
        <f t="shared" si="14"/>
        <v>2002.9154518950443</v>
      </c>
      <c r="C154" s="144">
        <f t="shared" si="14"/>
        <v>0</v>
      </c>
      <c r="D154" s="144">
        <f t="shared" si="14"/>
        <v>0</v>
      </c>
      <c r="E154" s="144">
        <f t="shared" si="14"/>
        <v>0</v>
      </c>
      <c r="F154" s="144">
        <f t="shared" si="14"/>
        <v>5331.1120366513951</v>
      </c>
      <c r="G154" s="144">
        <f t="shared" si="14"/>
        <v>21645.020408163266</v>
      </c>
      <c r="H154" s="144">
        <f t="shared" si="14"/>
        <v>10495.626822157436</v>
      </c>
      <c r="I154" s="144">
        <f t="shared" si="14"/>
        <v>1356.3069970845484</v>
      </c>
      <c r="J154" s="144">
        <f t="shared" si="15"/>
        <v>40830.98171595169</v>
      </c>
    </row>
    <row r="155" spans="1:10" hidden="1" x14ac:dyDescent="0.25">
      <c r="A155" s="143" t="s">
        <v>46</v>
      </c>
      <c r="B155" s="144">
        <f t="shared" si="14"/>
        <v>1201.7492711370267</v>
      </c>
      <c r="C155" s="144">
        <f t="shared" si="14"/>
        <v>16793.002915451896</v>
      </c>
      <c r="D155" s="144">
        <f t="shared" si="14"/>
        <v>20728.862973760934</v>
      </c>
      <c r="E155" s="144">
        <f t="shared" si="14"/>
        <v>0</v>
      </c>
      <c r="F155" s="144">
        <f t="shared" si="14"/>
        <v>15889.21282798834</v>
      </c>
      <c r="G155" s="144">
        <f t="shared" si="14"/>
        <v>17316.040816326531</v>
      </c>
      <c r="H155" s="144">
        <f t="shared" si="14"/>
        <v>8746.3556851311969</v>
      </c>
      <c r="I155" s="144">
        <f t="shared" si="14"/>
        <v>478.27521865889219</v>
      </c>
      <c r="J155" s="144">
        <f t="shared" si="15"/>
        <v>81153.499708454823</v>
      </c>
    </row>
    <row r="156" spans="1:10" hidden="1" x14ac:dyDescent="0.25">
      <c r="A156" s="143" t="s">
        <v>47</v>
      </c>
      <c r="B156" s="144">
        <f t="shared" si="14"/>
        <v>0</v>
      </c>
      <c r="C156" s="144">
        <f t="shared" si="14"/>
        <v>16793.002915451896</v>
      </c>
      <c r="D156" s="144">
        <f t="shared" si="14"/>
        <v>0</v>
      </c>
      <c r="E156" s="144">
        <f t="shared" si="14"/>
        <v>0</v>
      </c>
      <c r="F156" s="144">
        <f t="shared" si="14"/>
        <v>23323.615160349855</v>
      </c>
      <c r="G156" s="144">
        <f t="shared" si="14"/>
        <v>17316.040816326531</v>
      </c>
      <c r="H156" s="144">
        <f t="shared" si="14"/>
        <v>1749.2711370262391</v>
      </c>
      <c r="I156" s="144">
        <f t="shared" si="14"/>
        <v>0</v>
      </c>
      <c r="J156" s="144">
        <f t="shared" si="15"/>
        <v>59181.930029154522</v>
      </c>
    </row>
    <row r="157" spans="1:10" hidden="1" x14ac:dyDescent="0.25">
      <c r="A157" s="136" t="s">
        <v>24</v>
      </c>
      <c r="B157" s="145">
        <f t="shared" ref="B157:J157" si="16">SUM(B145:B156)</f>
        <v>43663.556851311972</v>
      </c>
      <c r="C157" s="145">
        <f t="shared" si="16"/>
        <v>33586.005830903792</v>
      </c>
      <c r="D157" s="145">
        <f t="shared" si="16"/>
        <v>20728.862973760934</v>
      </c>
      <c r="E157" s="145">
        <f t="shared" si="16"/>
        <v>11516.034985422741</v>
      </c>
      <c r="F157" s="145">
        <f t="shared" si="16"/>
        <v>102911.70345689297</v>
      </c>
      <c r="G157" s="145">
        <f t="shared" si="16"/>
        <v>203463.51020408163</v>
      </c>
      <c r="H157" s="145">
        <f t="shared" si="16"/>
        <v>78717.201166180777</v>
      </c>
      <c r="I157" s="145">
        <f t="shared" si="16"/>
        <v>26770.752478134109</v>
      </c>
      <c r="J157" s="145">
        <f t="shared" si="16"/>
        <v>521357.62794668897</v>
      </c>
    </row>
    <row r="158" spans="1:10" hidden="1" x14ac:dyDescent="0.25"/>
    <row r="160" spans="1:10" hidden="1" x14ac:dyDescent="0.25"/>
    <row r="161" spans="3:8" ht="69.75" hidden="1" x14ac:dyDescent="0.25">
      <c r="C161" s="221" t="s">
        <v>152</v>
      </c>
      <c r="D161" s="223" t="s">
        <v>153</v>
      </c>
      <c r="E161" s="224"/>
      <c r="F161" s="146" t="s">
        <v>154</v>
      </c>
      <c r="G161" s="223" t="s">
        <v>155</v>
      </c>
      <c r="H161" s="225"/>
    </row>
    <row r="162" spans="3:8" ht="42" hidden="1" x14ac:dyDescent="0.25">
      <c r="C162" s="222"/>
      <c r="D162" s="147" t="s">
        <v>156</v>
      </c>
      <c r="E162" s="147" t="s">
        <v>157</v>
      </c>
      <c r="F162" s="148" t="s">
        <v>158</v>
      </c>
      <c r="G162" s="147" t="s">
        <v>156</v>
      </c>
      <c r="H162" s="149" t="s">
        <v>157</v>
      </c>
    </row>
    <row r="163" spans="3:8" ht="21" hidden="1" x14ac:dyDescent="0.35">
      <c r="C163" s="150" t="s">
        <v>12</v>
      </c>
      <c r="D163" s="151">
        <v>0</v>
      </c>
      <c r="E163" s="151">
        <v>3</v>
      </c>
      <c r="F163" s="152">
        <v>1.457725947521866</v>
      </c>
      <c r="G163" s="152">
        <f>D163*F163</f>
        <v>0</v>
      </c>
      <c r="H163" s="153">
        <f>E163*F163</f>
        <v>4.3731778425655978</v>
      </c>
    </row>
    <row r="164" spans="3:8" ht="21" hidden="1" x14ac:dyDescent="0.35">
      <c r="C164" s="150" t="s">
        <v>13</v>
      </c>
      <c r="D164" s="151">
        <v>0</v>
      </c>
      <c r="E164" s="151">
        <v>2</v>
      </c>
      <c r="F164" s="152">
        <v>1.7492711370262393</v>
      </c>
      <c r="G164" s="152">
        <f t="shared" ref="G164:G173" si="17">D164*F164</f>
        <v>0</v>
      </c>
      <c r="H164" s="153">
        <f t="shared" ref="H164:H173" si="18">E164*F164</f>
        <v>3.4985422740524785</v>
      </c>
    </row>
    <row r="165" spans="3:8" ht="21" hidden="1" x14ac:dyDescent="0.35">
      <c r="C165" s="150" t="s">
        <v>14</v>
      </c>
      <c r="D165" s="151">
        <v>1</v>
      </c>
      <c r="E165" s="151">
        <v>3</v>
      </c>
      <c r="F165" s="152">
        <v>1.7492711370262393</v>
      </c>
      <c r="G165" s="152">
        <f t="shared" si="17"/>
        <v>1.7492711370262393</v>
      </c>
      <c r="H165" s="153">
        <f t="shared" si="18"/>
        <v>5.2478134110787176</v>
      </c>
    </row>
    <row r="166" spans="3:8" ht="21" hidden="1" x14ac:dyDescent="0.35">
      <c r="C166" s="150" t="s">
        <v>15</v>
      </c>
      <c r="D166" s="151">
        <v>4</v>
      </c>
      <c r="E166" s="151">
        <v>3</v>
      </c>
      <c r="F166" s="152">
        <v>1.457725947521866</v>
      </c>
      <c r="G166" s="152">
        <f t="shared" si="17"/>
        <v>5.8309037900874641</v>
      </c>
      <c r="H166" s="153">
        <f t="shared" si="18"/>
        <v>4.3731778425655978</v>
      </c>
    </row>
    <row r="167" spans="3:8" ht="21" hidden="1" x14ac:dyDescent="0.35">
      <c r="C167" s="150" t="s">
        <v>16</v>
      </c>
      <c r="D167" s="151">
        <v>6</v>
      </c>
      <c r="E167" s="151">
        <v>5</v>
      </c>
      <c r="F167" s="152">
        <v>0.87463556851311963</v>
      </c>
      <c r="G167" s="152">
        <f t="shared" si="17"/>
        <v>5.2478134110787176</v>
      </c>
      <c r="H167" s="153">
        <f t="shared" si="18"/>
        <v>4.3731778425655978</v>
      </c>
    </row>
    <row r="168" spans="3:8" ht="21" hidden="1" x14ac:dyDescent="0.35">
      <c r="C168" s="150" t="s">
        <v>17</v>
      </c>
      <c r="D168" s="151">
        <v>8</v>
      </c>
      <c r="E168" s="151">
        <v>6</v>
      </c>
      <c r="F168" s="152">
        <v>0.72886297376093301</v>
      </c>
      <c r="G168" s="152">
        <f t="shared" si="17"/>
        <v>5.8309037900874641</v>
      </c>
      <c r="H168" s="153">
        <f t="shared" si="18"/>
        <v>4.3731778425655978</v>
      </c>
    </row>
    <row r="169" spans="3:8" ht="21" hidden="1" x14ac:dyDescent="0.35">
      <c r="C169" s="150" t="s">
        <v>18</v>
      </c>
      <c r="D169" s="151">
        <v>11</v>
      </c>
      <c r="E169" s="151">
        <v>2</v>
      </c>
      <c r="F169" s="152">
        <v>0.72886297376093301</v>
      </c>
      <c r="G169" s="152">
        <f t="shared" si="17"/>
        <v>8.017492711370263</v>
      </c>
      <c r="H169" s="153">
        <f t="shared" si="18"/>
        <v>1.457725947521866</v>
      </c>
    </row>
    <row r="170" spans="3:8" ht="21" hidden="1" x14ac:dyDescent="0.35">
      <c r="C170" s="150" t="s">
        <v>19</v>
      </c>
      <c r="D170" s="151">
        <v>10</v>
      </c>
      <c r="E170" s="151">
        <v>0</v>
      </c>
      <c r="F170" s="152">
        <v>0.72886297376093301</v>
      </c>
      <c r="G170" s="152">
        <f t="shared" si="17"/>
        <v>7.2886297376093303</v>
      </c>
      <c r="H170" s="153">
        <f t="shared" si="18"/>
        <v>0</v>
      </c>
    </row>
    <row r="171" spans="3:8" ht="21" hidden="1" x14ac:dyDescent="0.35">
      <c r="C171" s="150" t="s">
        <v>20</v>
      </c>
      <c r="D171" s="151">
        <v>7</v>
      </c>
      <c r="E171" s="151">
        <v>0</v>
      </c>
      <c r="F171" s="152">
        <v>1.0204081632653061</v>
      </c>
      <c r="G171" s="152">
        <f t="shared" si="17"/>
        <v>7.1428571428571432</v>
      </c>
      <c r="H171" s="153">
        <f t="shared" si="18"/>
        <v>0</v>
      </c>
    </row>
    <row r="172" spans="3:8" ht="21" hidden="1" x14ac:dyDescent="0.35">
      <c r="C172" s="150" t="s">
        <v>21</v>
      </c>
      <c r="D172" s="151">
        <v>6</v>
      </c>
      <c r="E172" s="151">
        <v>0</v>
      </c>
      <c r="F172" s="152">
        <v>1.3119533527696794</v>
      </c>
      <c r="G172" s="152">
        <f t="shared" si="17"/>
        <v>7.8717201166180768</v>
      </c>
      <c r="H172" s="153">
        <f t="shared" si="18"/>
        <v>0</v>
      </c>
    </row>
    <row r="173" spans="3:8" ht="21" hidden="1" x14ac:dyDescent="0.35">
      <c r="C173" s="150" t="s">
        <v>22</v>
      </c>
      <c r="D173" s="151">
        <v>6</v>
      </c>
      <c r="E173" s="151">
        <v>3</v>
      </c>
      <c r="F173" s="152">
        <v>1.3119533527696794</v>
      </c>
      <c r="G173" s="152">
        <f t="shared" si="17"/>
        <v>7.8717201166180768</v>
      </c>
      <c r="H173" s="153">
        <f t="shared" si="18"/>
        <v>3.9358600583090384</v>
      </c>
    </row>
    <row r="174" spans="3:8" ht="21" hidden="1" x14ac:dyDescent="0.35">
      <c r="C174" s="150" t="s">
        <v>23</v>
      </c>
      <c r="D174" s="151">
        <v>1</v>
      </c>
      <c r="E174" s="151">
        <v>3</v>
      </c>
      <c r="F174" s="152">
        <v>1.457725947521866</v>
      </c>
      <c r="G174" s="152">
        <f>D174*F174</f>
        <v>1.457725947521866</v>
      </c>
      <c r="H174" s="153">
        <f>E174*F174</f>
        <v>4.3731778425655978</v>
      </c>
    </row>
    <row r="175" spans="3:8" ht="32.25" hidden="1" thickBot="1" x14ac:dyDescent="0.3">
      <c r="C175" s="154" t="s">
        <v>24</v>
      </c>
      <c r="D175" s="155">
        <v>60</v>
      </c>
      <c r="E175" s="155">
        <v>30</v>
      </c>
      <c r="F175" s="155"/>
      <c r="G175" s="155">
        <f>SUM(G163:G174)</f>
        <v>58.30903790087465</v>
      </c>
      <c r="H175" s="156">
        <f>SUM(H163:H174)</f>
        <v>36.005830903790084</v>
      </c>
    </row>
  </sheetData>
  <mergeCells count="35">
    <mergeCell ref="H1:J1"/>
    <mergeCell ref="A19:A20"/>
    <mergeCell ref="B19:E19"/>
    <mergeCell ref="F19:F20"/>
    <mergeCell ref="G19:G20"/>
    <mergeCell ref="H19:H20"/>
    <mergeCell ref="I19:I20"/>
    <mergeCell ref="J19:J20"/>
    <mergeCell ref="A1:A2"/>
    <mergeCell ref="B1:B2"/>
    <mergeCell ref="C1:C2"/>
    <mergeCell ref="D1:D2"/>
    <mergeCell ref="E1:E2"/>
    <mergeCell ref="F1:G1"/>
    <mergeCell ref="A36:B36"/>
    <mergeCell ref="E41:F41"/>
    <mergeCell ref="E43:F43"/>
    <mergeCell ref="E63:H63"/>
    <mergeCell ref="A80:E80"/>
    <mergeCell ref="F80:J80"/>
    <mergeCell ref="A143:A144"/>
    <mergeCell ref="B143:E143"/>
    <mergeCell ref="F143:F144"/>
    <mergeCell ref="G143:G144"/>
    <mergeCell ref="H143:H144"/>
    <mergeCell ref="A85:D85"/>
    <mergeCell ref="G85:I85"/>
    <mergeCell ref="A86:I86"/>
    <mergeCell ref="A102:C102"/>
    <mergeCell ref="A123:C123"/>
    <mergeCell ref="I143:I144"/>
    <mergeCell ref="J143:J144"/>
    <mergeCell ref="C161:C162"/>
    <mergeCell ref="D161:E161"/>
    <mergeCell ref="G161:H1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J4" sqref="J4"/>
    </sheetView>
  </sheetViews>
  <sheetFormatPr defaultRowHeight="15" x14ac:dyDescent="0.25"/>
  <cols>
    <col min="1" max="3" width="12.7109375" customWidth="1"/>
    <col min="4" max="4" width="14.5703125" customWidth="1"/>
    <col min="5" max="8" width="12.7109375" customWidth="1"/>
    <col min="9" max="9" width="14.7109375" customWidth="1"/>
    <col min="10" max="10" width="15.7109375" customWidth="1"/>
    <col min="11" max="11" width="14.28515625" customWidth="1"/>
  </cols>
  <sheetData>
    <row r="1" spans="1:11" ht="43.9" customHeight="1" x14ac:dyDescent="0.25">
      <c r="A1" s="265" t="s">
        <v>159</v>
      </c>
      <c r="B1" s="265"/>
      <c r="C1" s="265"/>
      <c r="D1" s="265"/>
      <c r="E1" s="265"/>
      <c r="F1" s="265"/>
      <c r="G1" s="265"/>
      <c r="H1" s="265"/>
      <c r="I1" s="265"/>
      <c r="J1" s="266" t="s">
        <v>160</v>
      </c>
      <c r="K1" s="266"/>
    </row>
    <row r="2" spans="1:11" x14ac:dyDescent="0.25">
      <c r="A2" s="267" t="s">
        <v>0</v>
      </c>
      <c r="B2" s="269" t="s">
        <v>161</v>
      </c>
      <c r="C2" s="270" t="s">
        <v>162</v>
      </c>
      <c r="D2" s="272" t="s">
        <v>163</v>
      </c>
      <c r="E2" s="272" t="s">
        <v>164</v>
      </c>
      <c r="F2" s="272" t="s">
        <v>165</v>
      </c>
      <c r="G2" s="272" t="s">
        <v>166</v>
      </c>
      <c r="H2" s="272" t="s">
        <v>167</v>
      </c>
      <c r="I2" s="274" t="s">
        <v>168</v>
      </c>
      <c r="J2" s="159" t="s">
        <v>169</v>
      </c>
      <c r="K2" s="159" t="s">
        <v>170</v>
      </c>
    </row>
    <row r="3" spans="1:11" ht="31.15" customHeight="1" x14ac:dyDescent="0.25">
      <c r="A3" s="268"/>
      <c r="B3" s="269"/>
      <c r="C3" s="271"/>
      <c r="D3" s="273"/>
      <c r="E3" s="273"/>
      <c r="F3" s="273"/>
      <c r="G3" s="273"/>
      <c r="H3" s="273"/>
      <c r="I3" s="274"/>
      <c r="J3" s="160">
        <v>80</v>
      </c>
      <c r="K3" s="160">
        <v>0</v>
      </c>
    </row>
    <row r="4" spans="1:11" x14ac:dyDescent="0.25">
      <c r="A4" s="161" t="s">
        <v>12</v>
      </c>
      <c r="B4" s="4">
        <f>yazlık!B3</f>
        <v>0</v>
      </c>
      <c r="C4" s="162">
        <f>yazlık!G3</f>
        <v>1.3924050632911393</v>
      </c>
      <c r="D4" s="163">
        <f>B4*C4</f>
        <v>0</v>
      </c>
      <c r="E4" s="163">
        <f>B4*C4</f>
        <v>0</v>
      </c>
      <c r="F4" s="163">
        <f>B4*C4</f>
        <v>0</v>
      </c>
      <c r="G4" s="163">
        <f>B4*C4</f>
        <v>0</v>
      </c>
      <c r="H4" s="163">
        <f>B4*C4</f>
        <v>0</v>
      </c>
      <c r="I4" s="164">
        <f>SUM(D4:H4)</f>
        <v>0</v>
      </c>
      <c r="J4" s="165"/>
      <c r="K4" s="166"/>
    </row>
    <row r="5" spans="1:11" x14ac:dyDescent="0.25">
      <c r="A5" s="161" t="s">
        <v>13</v>
      </c>
      <c r="B5" s="4">
        <f>yazlık!B4</f>
        <v>0</v>
      </c>
      <c r="C5" s="162">
        <f>yazlık!G4</f>
        <v>1.3924050632911393</v>
      </c>
      <c r="D5" s="163">
        <f t="shared" ref="D5:D15" si="0">B5*C5</f>
        <v>0</v>
      </c>
      <c r="E5" s="163">
        <f t="shared" ref="E5:E15" si="1">B5*C5</f>
        <v>0</v>
      </c>
      <c r="F5" s="163">
        <f t="shared" ref="F5:F15" si="2">B5*C5</f>
        <v>0</v>
      </c>
      <c r="G5" s="163">
        <f t="shared" ref="G5:G15" si="3">B5*C5</f>
        <v>0</v>
      </c>
      <c r="H5" s="163">
        <f t="shared" ref="H5:H15" si="4">B5*C5</f>
        <v>0</v>
      </c>
      <c r="I5" s="164">
        <f t="shared" ref="I5:I15" si="5">SUM(D5:H5)</f>
        <v>0</v>
      </c>
      <c r="J5" s="167"/>
      <c r="K5" s="168"/>
    </row>
    <row r="6" spans="1:11" x14ac:dyDescent="0.25">
      <c r="A6" s="161" t="s">
        <v>14</v>
      </c>
      <c r="B6" s="4">
        <f>yazlık!B5</f>
        <v>20000</v>
      </c>
      <c r="C6" s="162">
        <f>yazlık!G5</f>
        <v>1.3924050632911393</v>
      </c>
      <c r="D6" s="163">
        <f t="shared" si="0"/>
        <v>27848.101265822788</v>
      </c>
      <c r="E6" s="163">
        <f t="shared" si="1"/>
        <v>27848.101265822788</v>
      </c>
      <c r="F6" s="163">
        <f t="shared" si="2"/>
        <v>27848.101265822788</v>
      </c>
      <c r="G6" s="163">
        <f t="shared" si="3"/>
        <v>27848.101265822788</v>
      </c>
      <c r="H6" s="163">
        <f t="shared" si="4"/>
        <v>27848.101265822788</v>
      </c>
      <c r="I6" s="164">
        <f t="shared" si="5"/>
        <v>139240.50632911394</v>
      </c>
      <c r="J6" s="167"/>
      <c r="K6" s="168"/>
    </row>
    <row r="7" spans="1:11" x14ac:dyDescent="0.25">
      <c r="A7" s="161" t="s">
        <v>15</v>
      </c>
      <c r="B7" s="4">
        <f>yazlık!B6</f>
        <v>80000</v>
      </c>
      <c r="C7" s="162">
        <f>yazlık!G6</f>
        <v>1.2658227848101267</v>
      </c>
      <c r="D7" s="163">
        <f t="shared" si="0"/>
        <v>101265.82278481014</v>
      </c>
      <c r="E7" s="163">
        <f t="shared" si="1"/>
        <v>101265.82278481014</v>
      </c>
      <c r="F7" s="163">
        <f t="shared" si="2"/>
        <v>101265.82278481014</v>
      </c>
      <c r="G7" s="163">
        <f t="shared" si="3"/>
        <v>101265.82278481014</v>
      </c>
      <c r="H7" s="163">
        <f t="shared" si="4"/>
        <v>101265.82278481014</v>
      </c>
      <c r="I7" s="164">
        <f t="shared" si="5"/>
        <v>506329.1139240507</v>
      </c>
      <c r="J7" s="167"/>
      <c r="K7" s="168"/>
    </row>
    <row r="8" spans="1:11" x14ac:dyDescent="0.25">
      <c r="A8" s="161" t="s">
        <v>16</v>
      </c>
      <c r="B8" s="4">
        <f>yazlık!B7</f>
        <v>120000</v>
      </c>
      <c r="C8" s="162">
        <f>yazlık!G7</f>
        <v>0.63291139240506333</v>
      </c>
      <c r="D8" s="163">
        <f t="shared" si="0"/>
        <v>75949.3670886076</v>
      </c>
      <c r="E8" s="163">
        <f t="shared" si="1"/>
        <v>75949.3670886076</v>
      </c>
      <c r="F8" s="163">
        <f t="shared" si="2"/>
        <v>75949.3670886076</v>
      </c>
      <c r="G8" s="163">
        <f t="shared" si="3"/>
        <v>75949.3670886076</v>
      </c>
      <c r="H8" s="163">
        <f t="shared" si="4"/>
        <v>75949.3670886076</v>
      </c>
      <c r="I8" s="164">
        <f t="shared" si="5"/>
        <v>379746.83544303803</v>
      </c>
      <c r="J8" s="167"/>
      <c r="K8" s="168"/>
    </row>
    <row r="9" spans="1:11" x14ac:dyDescent="0.25">
      <c r="A9" s="161" t="s">
        <v>17</v>
      </c>
      <c r="B9" s="4">
        <f>yazlık!B8</f>
        <v>180000</v>
      </c>
      <c r="C9" s="162">
        <f>yazlık!G8</f>
        <v>0.63291139240506333</v>
      </c>
      <c r="D9" s="163">
        <f t="shared" si="0"/>
        <v>113924.0506329114</v>
      </c>
      <c r="E9" s="163">
        <f t="shared" si="1"/>
        <v>113924.0506329114</v>
      </c>
      <c r="F9" s="163">
        <f t="shared" si="2"/>
        <v>113924.0506329114</v>
      </c>
      <c r="G9" s="163">
        <f t="shared" si="3"/>
        <v>113924.0506329114</v>
      </c>
      <c r="H9" s="163">
        <f t="shared" si="4"/>
        <v>113924.0506329114</v>
      </c>
      <c r="I9" s="164">
        <f t="shared" si="5"/>
        <v>569620.25316455704</v>
      </c>
      <c r="J9" s="167"/>
      <c r="K9" s="168"/>
    </row>
    <row r="10" spans="1:11" x14ac:dyDescent="0.25">
      <c r="A10" s="161" t="s">
        <v>18</v>
      </c>
      <c r="B10" s="4">
        <f>yazlık!B9</f>
        <v>220000</v>
      </c>
      <c r="C10" s="162">
        <f>yazlık!G9</f>
        <v>0.63291139240506333</v>
      </c>
      <c r="D10" s="163">
        <f t="shared" si="0"/>
        <v>139240.50632911394</v>
      </c>
      <c r="E10" s="163">
        <f t="shared" si="1"/>
        <v>139240.50632911394</v>
      </c>
      <c r="F10" s="163">
        <f t="shared" si="2"/>
        <v>139240.50632911394</v>
      </c>
      <c r="G10" s="163">
        <f t="shared" si="3"/>
        <v>139240.50632911394</v>
      </c>
      <c r="H10" s="163">
        <f t="shared" si="4"/>
        <v>139240.50632911394</v>
      </c>
      <c r="I10" s="164">
        <f t="shared" si="5"/>
        <v>696202.53164556972</v>
      </c>
      <c r="J10" s="167"/>
      <c r="K10" s="168"/>
    </row>
    <row r="11" spans="1:11" x14ac:dyDescent="0.25">
      <c r="A11" s="161" t="s">
        <v>19</v>
      </c>
      <c r="B11" s="4">
        <f>yazlık!B10</f>
        <v>220000</v>
      </c>
      <c r="C11" s="162">
        <f>yazlık!G10</f>
        <v>0.63291139240506333</v>
      </c>
      <c r="D11" s="163">
        <f t="shared" si="0"/>
        <v>139240.50632911394</v>
      </c>
      <c r="E11" s="163">
        <f t="shared" si="1"/>
        <v>139240.50632911394</v>
      </c>
      <c r="F11" s="163">
        <f t="shared" si="2"/>
        <v>139240.50632911394</v>
      </c>
      <c r="G11" s="163">
        <f t="shared" si="3"/>
        <v>139240.50632911394</v>
      </c>
      <c r="H11" s="163">
        <f t="shared" si="4"/>
        <v>139240.50632911394</v>
      </c>
      <c r="I11" s="164">
        <f t="shared" si="5"/>
        <v>696202.53164556972</v>
      </c>
      <c r="J11" s="167"/>
      <c r="K11" s="168"/>
    </row>
    <row r="12" spans="1:11" x14ac:dyDescent="0.25">
      <c r="A12" s="161" t="s">
        <v>20</v>
      </c>
      <c r="B12" s="4">
        <f>yazlık!B11</f>
        <v>120000</v>
      </c>
      <c r="C12" s="162">
        <f>yazlık!G11</f>
        <v>0.759493670886076</v>
      </c>
      <c r="D12" s="163">
        <f t="shared" si="0"/>
        <v>91139.240506329123</v>
      </c>
      <c r="E12" s="163">
        <f t="shared" si="1"/>
        <v>91139.240506329123</v>
      </c>
      <c r="F12" s="163">
        <f t="shared" si="2"/>
        <v>91139.240506329123</v>
      </c>
      <c r="G12" s="163">
        <f t="shared" si="3"/>
        <v>91139.240506329123</v>
      </c>
      <c r="H12" s="163">
        <f t="shared" si="4"/>
        <v>91139.240506329123</v>
      </c>
      <c r="I12" s="164">
        <f t="shared" si="5"/>
        <v>455696.2025316456</v>
      </c>
      <c r="J12" s="167"/>
      <c r="K12" s="168"/>
    </row>
    <row r="13" spans="1:11" x14ac:dyDescent="0.25">
      <c r="A13" s="161" t="s">
        <v>21</v>
      </c>
      <c r="B13" s="4">
        <f>yazlık!B12</f>
        <v>100000</v>
      </c>
      <c r="C13" s="162">
        <f>yazlık!G12</f>
        <v>0.88607594936708856</v>
      </c>
      <c r="D13" s="163">
        <f t="shared" si="0"/>
        <v>88607.594936708861</v>
      </c>
      <c r="E13" s="163">
        <f t="shared" si="1"/>
        <v>88607.594936708861</v>
      </c>
      <c r="F13" s="163">
        <f t="shared" si="2"/>
        <v>88607.594936708861</v>
      </c>
      <c r="G13" s="163">
        <f t="shared" si="3"/>
        <v>88607.594936708861</v>
      </c>
      <c r="H13" s="163">
        <f t="shared" si="4"/>
        <v>88607.594936708861</v>
      </c>
      <c r="I13" s="164">
        <f t="shared" si="5"/>
        <v>443037.97468354431</v>
      </c>
      <c r="J13" s="167"/>
      <c r="K13" s="168"/>
    </row>
    <row r="14" spans="1:11" x14ac:dyDescent="0.25">
      <c r="A14" s="161" t="s">
        <v>22</v>
      </c>
      <c r="B14" s="4">
        <f>yazlık!B13</f>
        <v>80000</v>
      </c>
      <c r="C14" s="162">
        <f>yazlık!G13</f>
        <v>1.0126582278481013</v>
      </c>
      <c r="D14" s="163">
        <f t="shared" si="0"/>
        <v>81012.658227848107</v>
      </c>
      <c r="E14" s="163">
        <f t="shared" si="1"/>
        <v>81012.658227848107</v>
      </c>
      <c r="F14" s="163">
        <f t="shared" si="2"/>
        <v>81012.658227848107</v>
      </c>
      <c r="G14" s="163">
        <f t="shared" si="3"/>
        <v>81012.658227848107</v>
      </c>
      <c r="H14" s="163">
        <f t="shared" si="4"/>
        <v>81012.658227848107</v>
      </c>
      <c r="I14" s="164">
        <f t="shared" si="5"/>
        <v>405063.29113924055</v>
      </c>
      <c r="J14" s="167"/>
      <c r="K14" s="168"/>
    </row>
    <row r="15" spans="1:11" x14ac:dyDescent="0.25">
      <c r="A15" s="161" t="s">
        <v>23</v>
      </c>
      <c r="B15" s="4">
        <f>yazlık!B14</f>
        <v>0</v>
      </c>
      <c r="C15" s="162">
        <f>yazlık!G14</f>
        <v>1.2658227848101267</v>
      </c>
      <c r="D15" s="163">
        <f t="shared" si="0"/>
        <v>0</v>
      </c>
      <c r="E15" s="163">
        <f t="shared" si="1"/>
        <v>0</v>
      </c>
      <c r="F15" s="163">
        <f t="shared" si="2"/>
        <v>0</v>
      </c>
      <c r="G15" s="163">
        <f t="shared" si="3"/>
        <v>0</v>
      </c>
      <c r="H15" s="163">
        <f t="shared" si="4"/>
        <v>0</v>
      </c>
      <c r="I15" s="164">
        <f t="shared" si="5"/>
        <v>0</v>
      </c>
      <c r="J15" s="167"/>
      <c r="K15" s="168"/>
    </row>
    <row r="16" spans="1:11" x14ac:dyDescent="0.25">
      <c r="A16" s="169" t="s">
        <v>24</v>
      </c>
      <c r="B16" s="170">
        <f>SUM(B4:B15)</f>
        <v>1140000</v>
      </c>
      <c r="C16" s="171">
        <f>D17/B16</f>
        <v>0.75283144570286487</v>
      </c>
      <c r="D16" s="172"/>
      <c r="E16" s="163"/>
      <c r="F16" s="163"/>
      <c r="G16" s="163"/>
      <c r="H16" s="163"/>
      <c r="I16" s="173"/>
      <c r="J16" s="167"/>
      <c r="K16" s="168"/>
    </row>
    <row r="17" spans="1:12" x14ac:dyDescent="0.25">
      <c r="A17" s="257" t="s">
        <v>171</v>
      </c>
      <c r="B17" s="258"/>
      <c r="C17" s="259"/>
      <c r="D17" s="174">
        <f>SUM(D4:D15)</f>
        <v>858227.84810126596</v>
      </c>
      <c r="E17" s="174">
        <f>SUM(E4:E15)</f>
        <v>858227.84810126596</v>
      </c>
      <c r="F17" s="174">
        <f>SUM(F4:F15)</f>
        <v>858227.84810126596</v>
      </c>
      <c r="G17" s="174">
        <f t="shared" ref="G17:H17" si="6">SUM(G4:G15)</f>
        <v>858227.84810126596</v>
      </c>
      <c r="H17" s="174">
        <f t="shared" si="6"/>
        <v>858227.84810126596</v>
      </c>
      <c r="I17" s="175">
        <f>SUM(D17:H17)</f>
        <v>4291139.2405063296</v>
      </c>
      <c r="J17" s="176"/>
      <c r="K17" s="177"/>
    </row>
    <row r="18" spans="1:12" x14ac:dyDescent="0.25">
      <c r="A18" s="260" t="s">
        <v>172</v>
      </c>
      <c r="B18" s="261"/>
      <c r="C18" s="261"/>
      <c r="D18" s="178">
        <f>yazlık!J34</f>
        <v>551756.21819168178</v>
      </c>
      <c r="E18" s="178">
        <f>D18</f>
        <v>551756.21819168178</v>
      </c>
      <c r="F18" s="178">
        <f>D18</f>
        <v>551756.21819168178</v>
      </c>
      <c r="G18" s="178">
        <f>D18</f>
        <v>551756.21819168178</v>
      </c>
      <c r="H18" s="178">
        <f>D18</f>
        <v>551756.21819168178</v>
      </c>
      <c r="I18" s="179">
        <f t="shared" ref="I18:I19" si="7">SUM(D18:H18)</f>
        <v>2758781.090958409</v>
      </c>
      <c r="J18" s="180">
        <f>J3*yazlık!B35</f>
        <v>1600000</v>
      </c>
      <c r="K18" s="180">
        <f>K3*yazlık!B35</f>
        <v>0</v>
      </c>
    </row>
    <row r="19" spans="1:12" x14ac:dyDescent="0.25">
      <c r="A19" s="262" t="s">
        <v>173</v>
      </c>
      <c r="B19" s="263"/>
      <c r="C19" s="264"/>
      <c r="D19" s="181">
        <f>D17-D18</f>
        <v>306471.62990958418</v>
      </c>
      <c r="E19" s="181">
        <f t="shared" ref="E19:H19" si="8">E17-E18</f>
        <v>306471.62990958418</v>
      </c>
      <c r="F19" s="181">
        <f t="shared" si="8"/>
        <v>306471.62990958418</v>
      </c>
      <c r="G19" s="181">
        <f t="shared" si="8"/>
        <v>306471.62990958418</v>
      </c>
      <c r="H19" s="181">
        <f t="shared" si="8"/>
        <v>306471.62990958418</v>
      </c>
      <c r="I19" s="182">
        <f t="shared" si="7"/>
        <v>1532358.149547921</v>
      </c>
      <c r="J19" s="183">
        <f>J18/D19</f>
        <v>5.2207116217316258</v>
      </c>
      <c r="K19" s="183">
        <f>K18/D19</f>
        <v>0</v>
      </c>
      <c r="L19" s="184" t="s">
        <v>174</v>
      </c>
    </row>
    <row r="20" spans="1:12" x14ac:dyDescent="0.25">
      <c r="D20" s="185"/>
    </row>
  </sheetData>
  <mergeCells count="14">
    <mergeCell ref="A17:C17"/>
    <mergeCell ref="A18:C18"/>
    <mergeCell ref="A19:C19"/>
    <mergeCell ref="A1:I1"/>
    <mergeCell ref="J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yazlık</vt:lpstr>
      <vt:lpstr>ara dikim</vt:lpstr>
      <vt:lpstr>yat.geri dönüş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2025-06-27T20:25:27Z</dcterms:modified>
</cp:coreProperties>
</file>